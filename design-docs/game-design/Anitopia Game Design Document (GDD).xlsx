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Storage\Anitopia Project\"/>
    </mc:Choice>
  </mc:AlternateContent>
  <xr:revisionPtr revIDLastSave="0" documentId="13_ncr:1_{57A6B3B3-19EF-428D-83D5-BB7A2E69736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Game Design" sheetId="1" r:id="rId1"/>
    <sheet name="Tower Design" sheetId="6" r:id="rId2"/>
    <sheet name="Game Mechanic" sheetId="3" r:id="rId3"/>
    <sheet name="Skill Design" sheetId="4" r:id="rId4"/>
    <sheet name="Character Design" sheetId="5" r:id="rId5"/>
    <sheet name="Enemy Design" sheetId="7" r:id="rId6"/>
    <sheet name="References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5" l="1"/>
  <c r="H41" i="5"/>
  <c r="I41" i="5"/>
  <c r="J41" i="5"/>
  <c r="J42" i="5" s="1"/>
  <c r="J43" i="5" s="1"/>
  <c r="J44" i="5" s="1"/>
  <c r="K41" i="5"/>
  <c r="L41" i="5"/>
  <c r="H42" i="5"/>
  <c r="H43" i="5" s="1"/>
  <c r="I42" i="5"/>
  <c r="I43" i="5" s="1"/>
  <c r="I44" i="5" s="1"/>
  <c r="K42" i="5"/>
  <c r="K43" i="5"/>
  <c r="K44" i="5" s="1"/>
  <c r="L45" i="5"/>
  <c r="H46" i="5"/>
  <c r="H47" i="5" s="1"/>
  <c r="I46" i="5"/>
  <c r="I47" i="5" s="1"/>
  <c r="I48" i="5" s="1"/>
  <c r="I49" i="5" s="1"/>
  <c r="J46" i="5"/>
  <c r="K46" i="5"/>
  <c r="J47" i="5"/>
  <c r="J48" i="5" s="1"/>
  <c r="J49" i="5" s="1"/>
  <c r="K47" i="5"/>
  <c r="K48" i="5" s="1"/>
  <c r="K49" i="5" s="1"/>
  <c r="L50" i="5"/>
  <c r="H51" i="5"/>
  <c r="H52" i="5" s="1"/>
  <c r="I51" i="5"/>
  <c r="J51" i="5"/>
  <c r="J52" i="5" s="1"/>
  <c r="J53" i="5" s="1"/>
  <c r="J54" i="5" s="1"/>
  <c r="K51" i="5"/>
  <c r="L51" i="5" s="1"/>
  <c r="I52" i="5"/>
  <c r="I53" i="5"/>
  <c r="I54" i="5" s="1"/>
  <c r="L55" i="5"/>
  <c r="H56" i="5"/>
  <c r="I56" i="5"/>
  <c r="J56" i="5"/>
  <c r="K56" i="5"/>
  <c r="K57" i="5" s="1"/>
  <c r="K58" i="5" s="1"/>
  <c r="K59" i="5" s="1"/>
  <c r="H57" i="5"/>
  <c r="L57" i="5" s="1"/>
  <c r="I57" i="5"/>
  <c r="I58" i="5" s="1"/>
  <c r="I59" i="5" s="1"/>
  <c r="J57" i="5"/>
  <c r="J58" i="5" s="1"/>
  <c r="J59" i="5" s="1"/>
  <c r="L60" i="5"/>
  <c r="H61" i="5"/>
  <c r="L61" i="5" s="1"/>
  <c r="I61" i="5"/>
  <c r="I62" i="5" s="1"/>
  <c r="I63" i="5" s="1"/>
  <c r="I64" i="5" s="1"/>
  <c r="J61" i="5"/>
  <c r="J62" i="5" s="1"/>
  <c r="J63" i="5" s="1"/>
  <c r="J64" i="5" s="1"/>
  <c r="K61" i="5"/>
  <c r="K62" i="5"/>
  <c r="K63" i="5" s="1"/>
  <c r="K64" i="5" s="1"/>
  <c r="L65" i="5"/>
  <c r="H66" i="5"/>
  <c r="I66" i="5"/>
  <c r="I67" i="5" s="1"/>
  <c r="I68" i="5" s="1"/>
  <c r="I69" i="5" s="1"/>
  <c r="J66" i="5"/>
  <c r="J67" i="5" s="1"/>
  <c r="J68" i="5" s="1"/>
  <c r="J69" i="5" s="1"/>
  <c r="K66" i="5"/>
  <c r="K67" i="5" s="1"/>
  <c r="K68" i="5" s="1"/>
  <c r="K69" i="5" s="1"/>
  <c r="L66" i="5"/>
  <c r="H67" i="5"/>
  <c r="L67" i="5" s="1"/>
  <c r="L70" i="5"/>
  <c r="H71" i="5"/>
  <c r="L71" i="5" s="1"/>
  <c r="I71" i="5"/>
  <c r="J71" i="5"/>
  <c r="K71" i="5"/>
  <c r="I72" i="5"/>
  <c r="I73" i="5" s="1"/>
  <c r="I74" i="5" s="1"/>
  <c r="J72" i="5"/>
  <c r="J73" i="5" s="1"/>
  <c r="J74" i="5" s="1"/>
  <c r="K72" i="5"/>
  <c r="K73" i="5" s="1"/>
  <c r="K74" i="5" s="1"/>
  <c r="L75" i="5"/>
  <c r="H76" i="5"/>
  <c r="I76" i="5"/>
  <c r="L76" i="5" s="1"/>
  <c r="J76" i="5"/>
  <c r="J77" i="5" s="1"/>
  <c r="J78" i="5" s="1"/>
  <c r="J79" i="5" s="1"/>
  <c r="K76" i="5"/>
  <c r="K77" i="5" s="1"/>
  <c r="K78" i="5" s="1"/>
  <c r="K79" i="5" s="1"/>
  <c r="H77" i="5"/>
  <c r="H78" i="5"/>
  <c r="H79" i="5" s="1"/>
  <c r="L80" i="5"/>
  <c r="H81" i="5"/>
  <c r="I81" i="5"/>
  <c r="J81" i="5"/>
  <c r="J82" i="5" s="1"/>
  <c r="J83" i="5" s="1"/>
  <c r="J84" i="5" s="1"/>
  <c r="K81" i="5"/>
  <c r="L81" i="5"/>
  <c r="H82" i="5"/>
  <c r="I82" i="5"/>
  <c r="I83" i="5" s="1"/>
  <c r="I84" i="5" s="1"/>
  <c r="K82" i="5"/>
  <c r="K83" i="5"/>
  <c r="K84" i="5" s="1"/>
  <c r="L85" i="5"/>
  <c r="H86" i="5"/>
  <c r="L86" i="5" s="1"/>
  <c r="I86" i="5"/>
  <c r="I87" i="5" s="1"/>
  <c r="I88" i="5" s="1"/>
  <c r="I89" i="5" s="1"/>
  <c r="J86" i="5"/>
  <c r="K86" i="5"/>
  <c r="J87" i="5"/>
  <c r="J88" i="5" s="1"/>
  <c r="J89" i="5" s="1"/>
  <c r="K87" i="5"/>
  <c r="K88" i="5" s="1"/>
  <c r="K89" i="5" s="1"/>
  <c r="L90" i="5"/>
  <c r="H91" i="5"/>
  <c r="H92" i="5" s="1"/>
  <c r="I91" i="5"/>
  <c r="I92" i="5" s="1"/>
  <c r="I93" i="5" s="1"/>
  <c r="I94" i="5" s="1"/>
  <c r="J91" i="5"/>
  <c r="J92" i="5" s="1"/>
  <c r="J93" i="5" s="1"/>
  <c r="J94" i="5" s="1"/>
  <c r="K91" i="5"/>
  <c r="K92" i="5" s="1"/>
  <c r="K93" i="5" s="1"/>
  <c r="K94" i="5" s="1"/>
  <c r="L91" i="5"/>
  <c r="L35" i="5"/>
  <c r="H36" i="5"/>
  <c r="I36" i="5"/>
  <c r="J36" i="5"/>
  <c r="J37" i="5" s="1"/>
  <c r="J38" i="5" s="1"/>
  <c r="J39" i="5" s="1"/>
  <c r="K36" i="5"/>
  <c r="K37" i="5" s="1"/>
  <c r="K38" i="5" s="1"/>
  <c r="K39" i="5" s="1"/>
  <c r="L36" i="5"/>
  <c r="H37" i="5"/>
  <c r="I37" i="5"/>
  <c r="I38" i="5" s="1"/>
  <c r="I39" i="5" s="1"/>
  <c r="K31" i="5"/>
  <c r="K32" i="5" s="1"/>
  <c r="K33" i="5" s="1"/>
  <c r="K34" i="5" s="1"/>
  <c r="J31" i="5"/>
  <c r="J32" i="5" s="1"/>
  <c r="J33" i="5" s="1"/>
  <c r="J34" i="5" s="1"/>
  <c r="I31" i="5"/>
  <c r="I32" i="5" s="1"/>
  <c r="I33" i="5" s="1"/>
  <c r="I34" i="5" s="1"/>
  <c r="H31" i="5"/>
  <c r="H32" i="5" s="1"/>
  <c r="K26" i="5"/>
  <c r="K27" i="5" s="1"/>
  <c r="K28" i="5" s="1"/>
  <c r="K29" i="5" s="1"/>
  <c r="J26" i="5"/>
  <c r="J27" i="5" s="1"/>
  <c r="J28" i="5" s="1"/>
  <c r="J29" i="5" s="1"/>
  <c r="I26" i="5"/>
  <c r="I27" i="5" s="1"/>
  <c r="I28" i="5" s="1"/>
  <c r="I29" i="5" s="1"/>
  <c r="H26" i="5"/>
  <c r="H27" i="5" s="1"/>
  <c r="K21" i="5"/>
  <c r="K22" i="5" s="1"/>
  <c r="K23" i="5" s="1"/>
  <c r="K24" i="5" s="1"/>
  <c r="J21" i="5"/>
  <c r="J22" i="5" s="1"/>
  <c r="J23" i="5" s="1"/>
  <c r="J24" i="5" s="1"/>
  <c r="I21" i="5"/>
  <c r="I22" i="5" s="1"/>
  <c r="I23" i="5" s="1"/>
  <c r="I24" i="5" s="1"/>
  <c r="H21" i="5"/>
  <c r="K16" i="5"/>
  <c r="K17" i="5" s="1"/>
  <c r="K18" i="5" s="1"/>
  <c r="K19" i="5" s="1"/>
  <c r="J16" i="5"/>
  <c r="J17" i="5" s="1"/>
  <c r="J18" i="5" s="1"/>
  <c r="J19" i="5" s="1"/>
  <c r="I16" i="5"/>
  <c r="I17" i="5" s="1"/>
  <c r="I18" i="5" s="1"/>
  <c r="I19" i="5" s="1"/>
  <c r="H16" i="5"/>
  <c r="H17" i="5" s="1"/>
  <c r="K11" i="5"/>
  <c r="K12" i="5" s="1"/>
  <c r="K13" i="5" s="1"/>
  <c r="K14" i="5" s="1"/>
  <c r="J11" i="5"/>
  <c r="J12" i="5" s="1"/>
  <c r="J13" i="5" s="1"/>
  <c r="J14" i="5" s="1"/>
  <c r="I11" i="5"/>
  <c r="I12" i="5" s="1"/>
  <c r="I13" i="5" s="1"/>
  <c r="I14" i="5" s="1"/>
  <c r="H11" i="5"/>
  <c r="H12" i="5" s="1"/>
  <c r="H13" i="5" s="1"/>
  <c r="H14" i="5" s="1"/>
  <c r="L15" i="5"/>
  <c r="L20" i="5"/>
  <c r="L25" i="5"/>
  <c r="L30" i="5"/>
  <c r="L10" i="5"/>
  <c r="L37" i="1"/>
  <c r="K6" i="7"/>
  <c r="K7" i="7" s="1"/>
  <c r="K8" i="7" s="1"/>
  <c r="K9" i="7" s="1"/>
  <c r="J6" i="7"/>
  <c r="J7" i="7" s="1"/>
  <c r="J8" i="7" s="1"/>
  <c r="J9" i="7" s="1"/>
  <c r="I6" i="7"/>
  <c r="I7" i="7" s="1"/>
  <c r="I8" i="7" s="1"/>
  <c r="I9" i="7" s="1"/>
  <c r="H6" i="7"/>
  <c r="H7" i="7" s="1"/>
  <c r="L5" i="7"/>
  <c r="I6" i="5"/>
  <c r="I7" i="5" s="1"/>
  <c r="I8" i="5" s="1"/>
  <c r="I9" i="5" s="1"/>
  <c r="J6" i="5"/>
  <c r="J7" i="5" s="1"/>
  <c r="J8" i="5" s="1"/>
  <c r="J9" i="5" s="1"/>
  <c r="K6" i="5"/>
  <c r="K7" i="5" s="1"/>
  <c r="K8" i="5" s="1"/>
  <c r="K9" i="5" s="1"/>
  <c r="H6" i="5"/>
  <c r="L5" i="5"/>
  <c r="H44" i="5" l="1"/>
  <c r="L44" i="5" s="1"/>
  <c r="L43" i="5"/>
  <c r="H48" i="5"/>
  <c r="L47" i="5"/>
  <c r="L82" i="5"/>
  <c r="H53" i="5"/>
  <c r="L92" i="5"/>
  <c r="H93" i="5"/>
  <c r="H72" i="5"/>
  <c r="H68" i="5"/>
  <c r="L56" i="5"/>
  <c r="H87" i="5"/>
  <c r="H83" i="5"/>
  <c r="K52" i="5"/>
  <c r="K53" i="5" s="1"/>
  <c r="K54" i="5" s="1"/>
  <c r="I77" i="5"/>
  <c r="H62" i="5"/>
  <c r="H58" i="5"/>
  <c r="L46" i="5"/>
  <c r="L42" i="5"/>
  <c r="L37" i="5"/>
  <c r="H38" i="5"/>
  <c r="L21" i="5"/>
  <c r="L26" i="5"/>
  <c r="L32" i="5"/>
  <c r="H33" i="5"/>
  <c r="L31" i="5"/>
  <c r="L27" i="5"/>
  <c r="H28" i="5"/>
  <c r="H22" i="5"/>
  <c r="L17" i="5"/>
  <c r="H18" i="5"/>
  <c r="L16" i="5"/>
  <c r="L12" i="5"/>
  <c r="L11" i="5"/>
  <c r="L6" i="5"/>
  <c r="H7" i="5"/>
  <c r="L7" i="7"/>
  <c r="H8" i="7"/>
  <c r="L6" i="7"/>
  <c r="L53" i="5" l="1"/>
  <c r="H54" i="5"/>
  <c r="L54" i="5" s="1"/>
  <c r="H84" i="5"/>
  <c r="L84" i="5" s="1"/>
  <c r="L83" i="5"/>
  <c r="L52" i="5"/>
  <c r="H88" i="5"/>
  <c r="L87" i="5"/>
  <c r="L58" i="5"/>
  <c r="H59" i="5"/>
  <c r="L59" i="5" s="1"/>
  <c r="L68" i="5"/>
  <c r="H69" i="5"/>
  <c r="L69" i="5" s="1"/>
  <c r="L48" i="5"/>
  <c r="H49" i="5"/>
  <c r="L49" i="5" s="1"/>
  <c r="H63" i="5"/>
  <c r="L62" i="5"/>
  <c r="L72" i="5"/>
  <c r="H73" i="5"/>
  <c r="L77" i="5"/>
  <c r="I78" i="5"/>
  <c r="L93" i="5"/>
  <c r="H94" i="5"/>
  <c r="L94" i="5" s="1"/>
  <c r="H39" i="5"/>
  <c r="L39" i="5" s="1"/>
  <c r="L38" i="5"/>
  <c r="H34" i="5"/>
  <c r="L34" i="5" s="1"/>
  <c r="L33" i="5"/>
  <c r="H29" i="5"/>
  <c r="L29" i="5" s="1"/>
  <c r="L28" i="5"/>
  <c r="L22" i="5"/>
  <c r="H23" i="5"/>
  <c r="H19" i="5"/>
  <c r="L19" i="5" s="1"/>
  <c r="L18" i="5"/>
  <c r="L14" i="5"/>
  <c r="L13" i="5"/>
  <c r="L7" i="5"/>
  <c r="H8" i="5"/>
  <c r="L8" i="7"/>
  <c r="H9" i="7"/>
  <c r="L9" i="7" s="1"/>
  <c r="L88" i="5" l="1"/>
  <c r="H89" i="5"/>
  <c r="L89" i="5" s="1"/>
  <c r="H74" i="5"/>
  <c r="L74" i="5" s="1"/>
  <c r="L73" i="5"/>
  <c r="I79" i="5"/>
  <c r="L79" i="5" s="1"/>
  <c r="L78" i="5"/>
  <c r="L63" i="5"/>
  <c r="H64" i="5"/>
  <c r="L64" i="5" s="1"/>
  <c r="H24" i="5"/>
  <c r="L24" i="5" s="1"/>
  <c r="L23" i="5"/>
  <c r="H9" i="5"/>
  <c r="L9" i="5" s="1"/>
  <c r="L8" i="5"/>
</calcChain>
</file>

<file path=xl/sharedStrings.xml><?xml version="1.0" encoding="utf-8"?>
<sst xmlns="http://schemas.openxmlformats.org/spreadsheetml/2006/main" count="1048" uniqueCount="452">
  <si>
    <t>Main Design</t>
  </si>
  <si>
    <t>Personal Note of Ideas</t>
  </si>
  <si>
    <t>Game Identity / Mantra:</t>
  </si>
  <si>
    <t>List your single sentence description of the game that you will use to guide design decisions. (Example: Stylized action platformer about a meatball fighting the dinner table.)</t>
  </si>
  <si>
    <t>Variable rarity characters, every character has lower rarity until the highest</t>
  </si>
  <si>
    <t>Rarity: common, uncommon, rare, epic, legendary</t>
  </si>
  <si>
    <t>Scroll names: Novice, Elite, Features Series</t>
  </si>
  <si>
    <t>Design Pillars</t>
  </si>
  <si>
    <t>List up to 3 words/phrases that convey the feeling or emotion you want the player to experience. (Example: Fast. Action-packed. Mayhem.)</t>
  </si>
  <si>
    <t>Novice Scrolls (1x cards): 1.000 coins, free 1x novice scroll every day</t>
  </si>
  <si>
    <t>- Common: 60%</t>
  </si>
  <si>
    <t>- Uncommon: 24%</t>
  </si>
  <si>
    <t>- Rare: 13%</t>
  </si>
  <si>
    <t>Genre/Story/Mechanics Summary</t>
  </si>
  <si>
    <t>List what the game is from a gameplay and/or story perspective. (Example: This game uses a unique swinging rope mechanic to tell a story about what it means to be a meatball...)</t>
  </si>
  <si>
    <t>- Epic: 3%</t>
  </si>
  <si>
    <t>Elite Scrolls (1x card): 5.000 coins</t>
  </si>
  <si>
    <t>- Uncommon: 50%</t>
  </si>
  <si>
    <t>Features</t>
  </si>
  <si>
    <t>List the cool features or unique elements that you want to include in your game.</t>
  </si>
  <si>
    <t>- Rare: 42%</t>
  </si>
  <si>
    <t>- Epic: 7.5%</t>
  </si>
  <si>
    <t>- Legendary: 0.5%</t>
  </si>
  <si>
    <t>Interface</t>
  </si>
  <si>
    <t>List the player input method, the controls, and how the player interacts with your game.</t>
  </si>
  <si>
    <t>Featured Series Packs (3x cards): 50.000 coins</t>
  </si>
  <si>
    <t>- Rare: 53%</t>
  </si>
  <si>
    <t>- Epic: 43%</t>
  </si>
  <si>
    <t>- Legendary: 4%</t>
  </si>
  <si>
    <t>Art Style</t>
  </si>
  <si>
    <t xml:space="preserve">Include references to lots of images and games that have a similar aesthetic to what you're trying to achieve. </t>
  </si>
  <si>
    <t>Limited only getting the weekly series characters</t>
  </si>
  <si>
    <t>Economy rewards:</t>
  </si>
  <si>
    <t>Early Levels (1 - 10): 500 coin per level</t>
  </si>
  <si>
    <t>Music/Sound</t>
  </si>
  <si>
    <t>Include links to music and sound design similar to What you're trying to achieve. You can also list the emotional responses that the sound should invoke in the player.</t>
  </si>
  <si>
    <t>Mid Levels (11 - 50): 1000 coin per level</t>
  </si>
  <si>
    <t>High Levels (51++): 2000 coin per level</t>
  </si>
  <si>
    <t>End of chapter bonus: 5000 coin</t>
  </si>
  <si>
    <t>Development Roadmap / Launch Criteria</t>
  </si>
  <si>
    <t>Platform: Steam/Google Play/iOS/Web</t>
  </si>
  <si>
    <t>Platform: Discord, Web (future udpates)</t>
  </si>
  <si>
    <t>Audience: Age/gender/interests.</t>
  </si>
  <si>
    <t>Audience: Teenage / Boy / Anime RPG</t>
  </si>
  <si>
    <t>Milestone 1: Mechanics complete - 0/0/00</t>
  </si>
  <si>
    <t>Milestone 1:</t>
  </si>
  <si>
    <t>Fire: Strong against Wind, Weak against Water</t>
  </si>
  <si>
    <t>Milestone 2: Boss fights complete - 0/0/00</t>
  </si>
  <si>
    <t>Water: Strong against Fire, Weak against Earth</t>
  </si>
  <si>
    <t>Milestone 3: Levels complete - 0/0/00</t>
  </si>
  <si>
    <t>Milestone 4: Polish complete - 0/0/00</t>
  </si>
  <si>
    <t>Launch Day: 0/0/00</t>
  </si>
  <si>
    <t>Light and Dark: These two elements could be strong against each other, creating a balanced dynamic.</t>
  </si>
  <si>
    <t>Neutral: This element could have no strengths or weaknesses.</t>
  </si>
  <si>
    <t>Main Commands</t>
  </si>
  <si>
    <t>Story</t>
  </si>
  <si>
    <t>Floor</t>
  </si>
  <si>
    <t>Summon</t>
  </si>
  <si>
    <t>Damage Formula</t>
  </si>
  <si>
    <t>Category</t>
  </si>
  <si>
    <t>Value</t>
  </si>
  <si>
    <t>Player A ATK</t>
  </si>
  <si>
    <t>Shop</t>
  </si>
  <si>
    <t>Player A HP</t>
  </si>
  <si>
    <t>Profile</t>
  </si>
  <si>
    <t>Player B DEF</t>
  </si>
  <si>
    <t>Damage</t>
  </si>
  <si>
    <t>Floor decimal values</t>
  </si>
  <si>
    <t>AniGame Bot Permissions</t>
  </si>
  <si>
    <t>• Manage Webhooks</t>
  </si>
  <si>
    <t>• Read Messages</t>
  </si>
  <si>
    <t>• Send Messages</t>
  </si>
  <si>
    <t>• Embed Links</t>
  </si>
  <si>
    <t>• Attach Files</t>
  </si>
  <si>
    <t>• Read Messages History</t>
  </si>
  <si>
    <t>• Use External Emoji</t>
  </si>
  <si>
    <t>• Use Application Commands</t>
  </si>
  <si>
    <t>Element</t>
  </si>
  <si>
    <t>Aqua (Water) &gt; Pyro (Fire) &gt; Aero (Wind) &gt; Volt (Lightning) &gt; Terra (Earth)</t>
  </si>
  <si>
    <t>Pyro</t>
  </si>
  <si>
    <t>Strength</t>
  </si>
  <si>
    <t>Weakness</t>
  </si>
  <si>
    <t>Aero</t>
  </si>
  <si>
    <t>Aqua</t>
  </si>
  <si>
    <t>Description</t>
  </si>
  <si>
    <t>Terra</t>
  </si>
  <si>
    <t>Volt</t>
  </si>
  <si>
    <t>Lumen</t>
  </si>
  <si>
    <t>Shade</t>
  </si>
  <si>
    <t>Neutralis</t>
  </si>
  <si>
    <t>-</t>
  </si>
  <si>
    <t>Character Attributes</t>
  </si>
  <si>
    <t>Name</t>
  </si>
  <si>
    <t>Type</t>
  </si>
  <si>
    <t>Health (*10)</t>
  </si>
  <si>
    <t>Attack</t>
  </si>
  <si>
    <t>Defense</t>
  </si>
  <si>
    <t>Speed</t>
  </si>
  <si>
    <t>Accuracy</t>
  </si>
  <si>
    <t>Dodge</t>
  </si>
  <si>
    <t>Crit Rate</t>
  </si>
  <si>
    <t>50-300</t>
  </si>
  <si>
    <t>Unique</t>
  </si>
  <si>
    <t>All</t>
  </si>
  <si>
    <t>Class</t>
  </si>
  <si>
    <t>Rarity</t>
  </si>
  <si>
    <t>Common</t>
  </si>
  <si>
    <t>Uncommon</t>
  </si>
  <si>
    <t>Rare</t>
  </si>
  <si>
    <t>Epic</t>
  </si>
  <si>
    <t>Legendary</t>
  </si>
  <si>
    <t>Max Level</t>
  </si>
  <si>
    <t>Attr. Range</t>
  </si>
  <si>
    <t>Character Rarity</t>
  </si>
  <si>
    <t>50-100</t>
  </si>
  <si>
    <t>80-100</t>
  </si>
  <si>
    <t>100-150</t>
  </si>
  <si>
    <t>150-200</t>
  </si>
  <si>
    <t>200-250</t>
  </si>
  <si>
    <t>250-300</t>
  </si>
  <si>
    <t>Attributes Range per Class</t>
  </si>
  <si>
    <t>Mage</t>
  </si>
  <si>
    <t>Tank</t>
  </si>
  <si>
    <t>Warrior</t>
  </si>
  <si>
    <t>Support</t>
  </si>
  <si>
    <t>50-70</t>
  </si>
  <si>
    <t>70-90</t>
  </si>
  <si>
    <t>65-85</t>
  </si>
  <si>
    <t>55-75</t>
  </si>
  <si>
    <t>60-80</t>
  </si>
  <si>
    <t>100-120</t>
  </si>
  <si>
    <t>130-150</t>
  </si>
  <si>
    <t>115-135</t>
  </si>
  <si>
    <t>105-125</t>
  </si>
  <si>
    <t>110-130</t>
  </si>
  <si>
    <t>120-140</t>
  </si>
  <si>
    <t>150-170</t>
  </si>
  <si>
    <t>180-200</t>
  </si>
  <si>
    <t>165-185</t>
  </si>
  <si>
    <t>155-175</t>
  </si>
  <si>
    <t>160-180</t>
  </si>
  <si>
    <t>170-190</t>
  </si>
  <si>
    <t>200-220</t>
  </si>
  <si>
    <t>230-250</t>
  </si>
  <si>
    <t>215-235</t>
  </si>
  <si>
    <t>205-225</t>
  </si>
  <si>
    <t>210-230</t>
  </si>
  <si>
    <t>220-240</t>
  </si>
  <si>
    <t>250-270</t>
  </si>
  <si>
    <t>280-300</t>
  </si>
  <si>
    <t>270-290</t>
  </si>
  <si>
    <t>265-285</t>
  </si>
  <si>
    <t>255-275</t>
  </si>
  <si>
    <t>260-280</t>
  </si>
  <si>
    <t>Attr. Increase per Level Up</t>
  </si>
  <si>
    <t>Incr.</t>
  </si>
  <si>
    <t>Mul.</t>
  </si>
  <si>
    <t>Attr. Increase Formula</t>
  </si>
  <si>
    <t>Base Exp.</t>
  </si>
  <si>
    <t>Character Exp. Formula</t>
  </si>
  <si>
    <t>Player Exp. Formula</t>
  </si>
  <si>
    <t>Character Base Exp.</t>
  </si>
  <si>
    <t>Debuff Status</t>
  </si>
  <si>
    <t>Effect</t>
  </si>
  <si>
    <t>Character Element</t>
  </si>
  <si>
    <t>Paralysis</t>
  </si>
  <si>
    <t>Burn</t>
  </si>
  <si>
    <t>Silence</t>
  </si>
  <si>
    <t>Blindness</t>
  </si>
  <si>
    <t>Slow</t>
  </si>
  <si>
    <t>Weaken</t>
  </si>
  <si>
    <t>Armor Break</t>
  </si>
  <si>
    <t>Time Bomb</t>
  </si>
  <si>
    <t>Strengthen</t>
  </si>
  <si>
    <t>Critical Boost</t>
  </si>
  <si>
    <t>Double Attack</t>
  </si>
  <si>
    <t>Haste</t>
  </si>
  <si>
    <t>Protection</t>
  </si>
  <si>
    <t>Shield</t>
  </si>
  <si>
    <t>Aegis</t>
  </si>
  <si>
    <t>Increases the character’s attack power by 30% for 4 turns.</t>
  </si>
  <si>
    <t>Increases the likelihood of the character landing critical hits by 25% for 3 turns.</t>
  </si>
  <si>
    <t>Gives the character a 25% chance to attack twice in one turn for 3 turns.</t>
  </si>
  <si>
    <t>Increases the character’s speed by 50% for 3 turns.</t>
  </si>
  <si>
    <t>Absorbs damage equal to 20% of the character’s maximum health before it reaches their health for 3 turns.</t>
  </si>
  <si>
    <t>Increases the character’s defense by 30% for 4 turns.</t>
  </si>
  <si>
    <t>Grants immunity to all debuffs for 2 turns.</t>
  </si>
  <si>
    <t>Buff Status</t>
  </si>
  <si>
    <t>For starters:</t>
  </si>
  <si>
    <t>1. create account</t>
  </si>
  <si>
    <t>2. setting profile / main menu</t>
  </si>
  <si>
    <t>4. create a team</t>
  </si>
  <si>
    <t>3. Summon characters 1, show the character</t>
  </si>
  <si>
    <t>5. heroes inventory</t>
  </si>
  <si>
    <t>6. select character to the team</t>
  </si>
  <si>
    <t>7. start tower</t>
  </si>
  <si>
    <t>8. done</t>
  </si>
  <si>
    <t>Health</t>
  </si>
  <si>
    <t>ATK</t>
  </si>
  <si>
    <t>DEF</t>
  </si>
  <si>
    <t>SPD</t>
  </si>
  <si>
    <t>Series</t>
  </si>
  <si>
    <t>Total</t>
  </si>
  <si>
    <t>Characters</t>
  </si>
  <si>
    <t>Passive</t>
  </si>
  <si>
    <t>Sword Art Online</t>
  </si>
  <si>
    <t>Active</t>
  </si>
  <si>
    <t>Base Attributes</t>
  </si>
  <si>
    <t>Kirito</t>
  </si>
  <si>
    <t>Full Name</t>
  </si>
  <si>
    <t>Kirigaya Kazuto</t>
  </si>
  <si>
    <t>Passive Skills</t>
  </si>
  <si>
    <t>Active Skills</t>
  </si>
  <si>
    <t>tower design</t>
  </si>
  <si>
    <t>Target</t>
  </si>
  <si>
    <t>Single</t>
  </si>
  <si>
    <t>Character's Skill</t>
  </si>
  <si>
    <t>Note: Ceil decimal value</t>
  </si>
  <si>
    <t>Kirito (Starbust Stream)</t>
  </si>
  <si>
    <t>Damage: 130%</t>
  </si>
  <si>
    <t>Damage: 135%</t>
  </si>
  <si>
    <t>Damage: 140%</t>
  </si>
  <si>
    <t>Damage: 145%</t>
  </si>
  <si>
    <t>Damage: 150%</t>
  </si>
  <si>
    <t>Aincrad</t>
  </si>
  <si>
    <t>Tower</t>
  </si>
  <si>
    <t>1-1</t>
  </si>
  <si>
    <t>Dire Wolf</t>
  </si>
  <si>
    <t>Battlefield Roar</t>
  </si>
  <si>
    <t>Area</t>
  </si>
  <si>
    <r>
      <rPr>
        <b/>
        <sz val="10"/>
        <color rgb="FF000000"/>
        <rFont val="Arial"/>
        <family val="2"/>
        <scheme val="minor"/>
      </rPr>
      <t>Battlefield Roar:</t>
    </r>
    <r>
      <rPr>
        <sz val="10"/>
        <color rgb="FF000000"/>
        <rFont val="Arial"/>
        <family val="2"/>
        <scheme val="minor"/>
      </rPr>
      <t xml:space="preserve"> Pack Leader</t>
    </r>
  </si>
  <si>
    <t>Enemies</t>
  </si>
  <si>
    <t>Enemy Team</t>
  </si>
  <si>
    <t>Mobs</t>
  </si>
  <si>
    <t>Position</t>
  </si>
  <si>
    <t>Character Battle Formation</t>
  </si>
  <si>
    <t>3 vs 3 Battle</t>
  </si>
  <si>
    <t>1-2</t>
  </si>
  <si>
    <t>1-3</t>
  </si>
  <si>
    <t>1-4</t>
  </si>
  <si>
    <t>1-5</t>
  </si>
  <si>
    <t>1-6</t>
  </si>
  <si>
    <t>1-7</t>
  </si>
  <si>
    <t>Tower Floors &amp; Enemies</t>
  </si>
  <si>
    <t>5 vs 5 Battle</t>
  </si>
  <si>
    <t>Front Middle</t>
  </si>
  <si>
    <t>Back Left</t>
  </si>
  <si>
    <t>Back Right</t>
  </si>
  <si>
    <t>Front Left</t>
  </si>
  <si>
    <t>Front Right</t>
  </si>
  <si>
    <t>Back Middle</t>
  </si>
  <si>
    <t>Lightning: Strong against Water, Weak against Earth</t>
  </si>
  <si>
    <t>Earth: Strong against Lightning, Weak against Wind</t>
  </si>
  <si>
    <t>Wind: Strong against Earth, Weak against Fire</t>
  </si>
  <si>
    <t>Level</t>
  </si>
  <si>
    <t>RND: Random Number (-0.1, 1.1)</t>
  </si>
  <si>
    <t>Removed +1 before random number</t>
  </si>
  <si>
    <t>Cooldown</t>
  </si>
  <si>
    <t>3 turns</t>
  </si>
  <si>
    <t>Trigger</t>
  </si>
  <si>
    <t>Battle Start</t>
  </si>
  <si>
    <t>Duration: 3 turns</t>
  </si>
  <si>
    <t>Sleep</t>
  </si>
  <si>
    <t>Freeze</t>
  </si>
  <si>
    <t>Duration: 2 turns</t>
  </si>
  <si>
    <r>
      <t xml:space="preserve">The character is frozen solid, making them incapable of executing any actions for </t>
    </r>
    <r>
      <rPr>
        <b/>
        <sz val="10"/>
        <color rgb="FF000000"/>
        <rFont val="Arial"/>
        <family val="2"/>
        <scheme val="minor"/>
      </rPr>
      <t>2 turns</t>
    </r>
    <r>
      <rPr>
        <sz val="10"/>
        <color rgb="FF000000"/>
        <rFont val="Arial"/>
        <family val="2"/>
        <scheme val="minor"/>
      </rPr>
      <t>.</t>
    </r>
  </si>
  <si>
    <t>Hit Reaction: Immediate Awakening</t>
  </si>
  <si>
    <r>
      <t xml:space="preserve">The character is put to sleep, causing them to be inactive. They will instantly awaken if attacked. If undisturbed, they have a </t>
    </r>
    <r>
      <rPr>
        <b/>
        <sz val="10"/>
        <color rgb="FF000000"/>
        <rFont val="Arial"/>
        <family val="2"/>
        <scheme val="minor"/>
      </rPr>
      <t xml:space="preserve">75% chance </t>
    </r>
    <r>
      <rPr>
        <sz val="10"/>
        <color rgb="FF000000"/>
        <rFont val="Arial"/>
        <family val="2"/>
        <scheme val="minor"/>
      </rPr>
      <t>to wake up on their own each turn.</t>
    </r>
  </si>
  <si>
    <t>Chance of Awakening: 75% per turn</t>
  </si>
  <si>
    <t>Immobilization</t>
  </si>
  <si>
    <t>Inaction Probability: 25% per turn</t>
  </si>
  <si>
    <t>Bleed</t>
  </si>
  <si>
    <t>Damage Over Time</t>
  </si>
  <si>
    <t>Speed Reduction: 60%</t>
  </si>
  <si>
    <t>Posion</t>
  </si>
  <si>
    <t>True Damage: 5% of max health</t>
  </si>
  <si>
    <t>Speed Reduction &amp; Immobilization</t>
  </si>
  <si>
    <t>Max Health Reduction</t>
  </si>
  <si>
    <t>Frostbite</t>
  </si>
  <si>
    <t>Speed Reduction &amp; Attack Reduction</t>
  </si>
  <si>
    <t>Speed Reduction: 30%</t>
  </si>
  <si>
    <t>Attack Reduction: 20%</t>
  </si>
  <si>
    <r>
      <t xml:space="preserve">The character is afflicted with frostbite, </t>
    </r>
    <r>
      <rPr>
        <b/>
        <sz val="10"/>
        <color rgb="FF000000"/>
        <rFont val="Arial"/>
        <family val="2"/>
        <scheme val="minor"/>
      </rPr>
      <t>reducing</t>
    </r>
    <r>
      <rPr>
        <sz val="10"/>
        <color rgb="FF000000"/>
        <rFont val="Arial"/>
        <family val="2"/>
        <scheme val="minor"/>
      </rPr>
      <t xml:space="preserve"> their </t>
    </r>
    <r>
      <rPr>
        <b/>
        <sz val="10"/>
        <color rgb="FF000000"/>
        <rFont val="Arial"/>
        <family val="2"/>
        <scheme val="minor"/>
      </rPr>
      <t>speed by 30%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 xml:space="preserve">attack </t>
    </r>
    <r>
      <rPr>
        <sz val="10"/>
        <color rgb="FF000000"/>
        <rFont val="Arial"/>
        <family val="2"/>
        <scheme val="minor"/>
      </rPr>
      <t xml:space="preserve">attributes by </t>
    </r>
    <r>
      <rPr>
        <b/>
        <sz val="10"/>
        <color rgb="FF000000"/>
        <rFont val="Arial"/>
        <family val="2"/>
        <scheme val="minor"/>
      </rPr>
      <t>20%</t>
    </r>
    <r>
      <rPr>
        <sz val="10"/>
        <color rgb="FF000000"/>
        <rFont val="Arial"/>
        <family val="2"/>
        <scheme val="minor"/>
      </rPr>
      <t xml:space="preserve"> for </t>
    </r>
    <r>
      <rPr>
        <b/>
        <sz val="10"/>
        <color rgb="FF000000"/>
        <rFont val="Arial"/>
        <family val="2"/>
        <scheme val="minor"/>
      </rPr>
      <t>3 turns</t>
    </r>
    <r>
      <rPr>
        <sz val="10"/>
        <color rgb="FF000000"/>
        <rFont val="Arial"/>
        <family val="2"/>
        <scheme val="minor"/>
      </rPr>
      <t>.</t>
    </r>
  </si>
  <si>
    <r>
      <t xml:space="preserve">The character is silenced, preventing them from using active skill for </t>
    </r>
    <r>
      <rPr>
        <b/>
        <sz val="10"/>
        <color rgb="FF000000"/>
        <rFont val="Arial"/>
        <family val="2"/>
        <scheme val="minor"/>
      </rPr>
      <t>2 turns</t>
    </r>
    <r>
      <rPr>
        <sz val="10"/>
        <color rgb="FF000000"/>
        <rFont val="Arial"/>
        <family val="2"/>
        <scheme val="minor"/>
      </rPr>
      <t>.</t>
    </r>
  </si>
  <si>
    <t>Accuracy Reduction</t>
  </si>
  <si>
    <t>Speed Reduction</t>
  </si>
  <si>
    <t>Attack Reduction</t>
  </si>
  <si>
    <t>Defense Reduction</t>
  </si>
  <si>
    <t>Temporary Immobilization</t>
  </si>
  <si>
    <t>Active Skill Blocked</t>
  </si>
  <si>
    <r>
      <t xml:space="preserve">The character’s </t>
    </r>
    <r>
      <rPr>
        <b/>
        <sz val="10"/>
        <color rgb="FF000000"/>
        <rFont val="Arial"/>
        <family val="2"/>
        <scheme val="minor"/>
      </rPr>
      <t>speed</t>
    </r>
    <r>
      <rPr>
        <sz val="10"/>
        <color rgb="FF000000"/>
        <rFont val="Arial"/>
        <family val="2"/>
        <scheme val="minor"/>
      </rPr>
      <t xml:space="preserve"> is </t>
    </r>
    <r>
      <rPr>
        <b/>
        <sz val="10"/>
        <color rgb="FF000000"/>
        <rFont val="Arial"/>
        <family val="2"/>
        <scheme val="minor"/>
      </rPr>
      <t>reduced by 40%</t>
    </r>
    <r>
      <rPr>
        <sz val="10"/>
        <color rgb="FF000000"/>
        <rFont val="Arial"/>
        <family val="2"/>
        <scheme val="minor"/>
      </rPr>
      <t xml:space="preserve"> due to paralysis. Additionally, there’s a </t>
    </r>
    <r>
      <rPr>
        <b/>
        <sz val="10"/>
        <color rgb="FF000000"/>
        <rFont val="Arial"/>
        <family val="2"/>
        <scheme val="minor"/>
      </rPr>
      <t>25% chance</t>
    </r>
    <r>
      <rPr>
        <sz val="10"/>
        <color rgb="FF000000"/>
        <rFont val="Arial"/>
        <family val="2"/>
        <scheme val="minor"/>
      </rPr>
      <t xml:space="preserve"> each turn that they will be unable to perform any actions.</t>
    </r>
  </si>
  <si>
    <t>Speed Reduction: 40%</t>
  </si>
  <si>
    <r>
      <t>The character is engulfed in flames, causing them to take</t>
    </r>
    <r>
      <rPr>
        <b/>
        <sz val="10"/>
        <color rgb="FF000000"/>
        <rFont val="Arial"/>
        <family val="2"/>
        <scheme val="minor"/>
      </rPr>
      <t xml:space="preserve"> true damage</t>
    </r>
    <r>
      <rPr>
        <sz val="10"/>
        <color rgb="FF000000"/>
        <rFont val="Arial"/>
        <family val="2"/>
        <scheme val="minor"/>
      </rPr>
      <t xml:space="preserve"> equal to </t>
    </r>
    <r>
      <rPr>
        <b/>
        <sz val="10"/>
        <color rgb="FF000000"/>
        <rFont val="Arial"/>
        <family val="2"/>
        <scheme val="minor"/>
      </rPr>
      <t>35%</t>
    </r>
    <r>
      <rPr>
        <sz val="10"/>
        <color rgb="FF000000"/>
        <rFont val="Arial"/>
        <family val="2"/>
        <scheme val="minor"/>
      </rPr>
      <t xml:space="preserve"> of the</t>
    </r>
    <r>
      <rPr>
        <b/>
        <sz val="10"/>
        <color rgb="FF000000"/>
        <rFont val="Arial"/>
        <family val="2"/>
        <scheme val="minor"/>
      </rPr>
      <t xml:space="preserve"> initial damage dealt </t>
    </r>
    <r>
      <rPr>
        <sz val="10"/>
        <color rgb="FF000000"/>
        <rFont val="Arial"/>
        <family val="2"/>
        <scheme val="minor"/>
      </rPr>
      <t>for</t>
    </r>
    <r>
      <rPr>
        <b/>
        <sz val="10"/>
        <color rgb="FF000000"/>
        <rFont val="Arial"/>
        <family val="2"/>
        <scheme val="minor"/>
      </rPr>
      <t xml:space="preserve"> 2 turns</t>
    </r>
    <r>
      <rPr>
        <sz val="10"/>
        <color rgb="FF000000"/>
        <rFont val="Arial"/>
        <family val="2"/>
        <scheme val="minor"/>
      </rPr>
      <t>.</t>
    </r>
  </si>
  <si>
    <t>True Damage: 35% of damage dealt</t>
  </si>
  <si>
    <t>Max HP Reduction: 5%</t>
  </si>
  <si>
    <r>
      <t xml:space="preserve">The character suffers a deep wound, causing their </t>
    </r>
    <r>
      <rPr>
        <b/>
        <sz val="10"/>
        <color rgb="FF000000"/>
        <rFont val="Arial"/>
        <family val="2"/>
        <scheme val="minor"/>
      </rPr>
      <t>max HP</t>
    </r>
    <r>
      <rPr>
        <sz val="10"/>
        <color rgb="FF000000"/>
        <rFont val="Arial"/>
        <family val="2"/>
        <scheme val="minor"/>
      </rPr>
      <t xml:space="preserve"> to be </t>
    </r>
    <r>
      <rPr>
        <b/>
        <sz val="10"/>
        <color rgb="FF000000"/>
        <rFont val="Arial"/>
        <family val="2"/>
        <scheme val="minor"/>
      </rPr>
      <t>reduced by 5%</t>
    </r>
    <r>
      <rPr>
        <sz val="10"/>
        <color rgb="FF000000"/>
        <rFont val="Arial"/>
        <family val="2"/>
        <scheme val="minor"/>
      </rPr>
      <t xml:space="preserve"> due to blood loss for</t>
    </r>
    <r>
      <rPr>
        <b/>
        <sz val="10"/>
        <color rgb="FF000000"/>
        <rFont val="Arial"/>
        <family val="2"/>
        <scheme val="minor"/>
      </rPr>
      <t xml:space="preserve"> 3 turns</t>
    </r>
    <r>
      <rPr>
        <sz val="10"/>
        <color rgb="FF000000"/>
        <rFont val="Arial"/>
        <family val="2"/>
        <scheme val="minor"/>
      </rPr>
      <t>.</t>
    </r>
  </si>
  <si>
    <r>
      <t xml:space="preserve">The character is poisoned, causing them to take </t>
    </r>
    <r>
      <rPr>
        <b/>
        <sz val="10"/>
        <color rgb="FF000000"/>
        <rFont val="Arial"/>
        <family val="2"/>
        <scheme val="minor"/>
      </rPr>
      <t>true damage</t>
    </r>
    <r>
      <rPr>
        <sz val="10"/>
        <color rgb="FF000000"/>
        <rFont val="Arial"/>
        <family val="2"/>
        <scheme val="minor"/>
      </rPr>
      <t xml:space="preserve"> equal to</t>
    </r>
    <r>
      <rPr>
        <b/>
        <sz val="10"/>
        <color rgb="FF000000"/>
        <rFont val="Arial"/>
        <family val="2"/>
        <scheme val="minor"/>
      </rPr>
      <t xml:space="preserve"> 5%</t>
    </r>
    <r>
      <rPr>
        <sz val="10"/>
        <color rgb="FF000000"/>
        <rFont val="Arial"/>
        <family val="2"/>
        <scheme val="minor"/>
      </rPr>
      <t xml:space="preserve"> of their </t>
    </r>
    <r>
      <rPr>
        <b/>
        <sz val="10"/>
        <color rgb="FF000000"/>
        <rFont val="Arial"/>
        <family val="2"/>
        <scheme val="minor"/>
      </rPr>
      <t>max health</t>
    </r>
    <r>
      <rPr>
        <sz val="10"/>
        <color rgb="FF000000"/>
        <rFont val="Arial"/>
        <family val="2"/>
        <scheme val="minor"/>
      </rPr>
      <t xml:space="preserve"> for </t>
    </r>
    <r>
      <rPr>
        <b/>
        <sz val="10"/>
        <color rgb="FF000000"/>
        <rFont val="Arial"/>
        <family val="2"/>
        <scheme val="minor"/>
      </rPr>
      <t>2 turns</t>
    </r>
    <r>
      <rPr>
        <sz val="10"/>
        <color rgb="FF000000"/>
        <rFont val="Arial"/>
        <family val="2"/>
        <scheme val="minor"/>
      </rPr>
      <t>.</t>
    </r>
  </si>
  <si>
    <t>Accuracy Reduction: 40%</t>
  </si>
  <si>
    <r>
      <t xml:space="preserve">The character is blinded, </t>
    </r>
    <r>
      <rPr>
        <b/>
        <sz val="10"/>
        <color rgb="FF000000"/>
        <rFont val="Arial"/>
        <family val="2"/>
        <scheme val="minor"/>
      </rPr>
      <t>reducing</t>
    </r>
    <r>
      <rPr>
        <sz val="10"/>
        <color rgb="FF000000"/>
        <rFont val="Arial"/>
        <family val="2"/>
        <scheme val="minor"/>
      </rPr>
      <t xml:space="preserve"> their </t>
    </r>
    <r>
      <rPr>
        <b/>
        <sz val="10"/>
        <color rgb="FF000000"/>
        <rFont val="Arial"/>
        <family val="2"/>
        <scheme val="minor"/>
      </rPr>
      <t>accuracy</t>
    </r>
    <r>
      <rPr>
        <sz val="10"/>
        <color rgb="FF000000"/>
        <rFont val="Arial"/>
        <family val="2"/>
        <scheme val="minor"/>
      </rPr>
      <t xml:space="preserve"> by </t>
    </r>
    <r>
      <rPr>
        <b/>
        <sz val="10"/>
        <color rgb="FF000000"/>
        <rFont val="Arial"/>
        <family val="2"/>
        <scheme val="minor"/>
      </rPr>
      <t>40%</t>
    </r>
    <r>
      <rPr>
        <sz val="10"/>
        <color rgb="FF000000"/>
        <rFont val="Arial"/>
        <family val="2"/>
        <scheme val="minor"/>
      </rPr>
      <t xml:space="preserve"> for </t>
    </r>
    <r>
      <rPr>
        <b/>
        <sz val="10"/>
        <color rgb="FF000000"/>
        <rFont val="Arial"/>
        <family val="2"/>
        <scheme val="minor"/>
      </rPr>
      <t>3 turns</t>
    </r>
    <r>
      <rPr>
        <sz val="10"/>
        <color rgb="FF000000"/>
        <rFont val="Arial"/>
        <family val="2"/>
        <scheme val="minor"/>
      </rPr>
      <t>.</t>
    </r>
  </si>
  <si>
    <t>Defense Reduction: 60%</t>
  </si>
  <si>
    <t>Attack Reduction: 50%</t>
  </si>
  <si>
    <t>Delayed Damage</t>
  </si>
  <si>
    <t>True Damage: 30% of damage dealt</t>
  </si>
  <si>
    <t>Delay: After 2 turns</t>
  </si>
  <si>
    <r>
      <t xml:space="preserve">A time bomb is set on the character, which will explode after </t>
    </r>
    <r>
      <rPr>
        <b/>
        <sz val="10"/>
        <color rgb="FF000000"/>
        <rFont val="Arial"/>
        <family val="2"/>
        <scheme val="minor"/>
      </rPr>
      <t>2 turns</t>
    </r>
    <r>
      <rPr>
        <sz val="10"/>
        <color rgb="FF000000"/>
        <rFont val="Arial"/>
        <family val="2"/>
        <scheme val="minor"/>
      </rPr>
      <t xml:space="preserve">, causing </t>
    </r>
    <r>
      <rPr>
        <b/>
        <sz val="10"/>
        <color rgb="FF000000"/>
        <rFont val="Arial"/>
        <family val="2"/>
        <scheme val="minor"/>
      </rPr>
      <t>true damage</t>
    </r>
    <r>
      <rPr>
        <sz val="10"/>
        <color rgb="FF000000"/>
        <rFont val="Arial"/>
        <family val="2"/>
        <scheme val="minor"/>
      </rPr>
      <t xml:space="preserve"> equal to </t>
    </r>
    <r>
      <rPr>
        <b/>
        <sz val="10"/>
        <color rgb="FF000000"/>
        <rFont val="Arial"/>
        <family val="2"/>
        <scheme val="minor"/>
      </rPr>
      <t>30%</t>
    </r>
    <r>
      <rPr>
        <sz val="10"/>
        <color rgb="FF000000"/>
        <rFont val="Arial"/>
        <family val="2"/>
        <scheme val="minor"/>
      </rPr>
      <t xml:space="preserve"> of the </t>
    </r>
    <r>
      <rPr>
        <b/>
        <sz val="10"/>
        <color rgb="FF000000"/>
        <rFont val="Arial"/>
        <family val="2"/>
        <scheme val="minor"/>
      </rPr>
      <t>initial damage dealt</t>
    </r>
    <r>
      <rPr>
        <sz val="10"/>
        <color rgb="FF000000"/>
        <rFont val="Arial"/>
        <family val="2"/>
        <scheme val="minor"/>
      </rPr>
      <t>.</t>
    </r>
  </si>
  <si>
    <t>The character’s speed is reduced by 60% for 3 turns due to a slow debuff.</t>
  </si>
  <si>
    <t>The character’s attack power is reduced by 50% for 3 turns due to a weaken debuff.</t>
  </si>
  <si>
    <t>The character’s defense is reduced by 60% for 3 turns due to an armor break.</t>
  </si>
  <si>
    <t>4 turns</t>
  </si>
  <si>
    <t>Health -50%</t>
  </si>
  <si>
    <t>Attack +30%</t>
  </si>
  <si>
    <t>Attack +30%, Speed +50%</t>
  </si>
  <si>
    <t>Attack +35%, Speed +55%</t>
  </si>
  <si>
    <t>Attack +40%, Speed +60%</t>
  </si>
  <si>
    <t>Attack +45%, Speed +65%</t>
  </si>
  <si>
    <t>Attack +50%, Speed +70%</t>
  </si>
  <si>
    <t>Kirito (Dual Wielding)</t>
  </si>
  <si>
    <t>Resilience Boost</t>
  </si>
  <si>
    <r>
      <t xml:space="preserve">Resilience Boost: </t>
    </r>
    <r>
      <rPr>
        <sz val="10"/>
        <color rgb="FF000000"/>
        <rFont val="Arial"/>
        <family val="2"/>
        <scheme val="minor"/>
      </rPr>
      <t>Dual Wielding</t>
    </r>
  </si>
  <si>
    <t>True Damage: 160%</t>
  </si>
  <si>
    <t>True Damage: 170%</t>
  </si>
  <si>
    <t>Attack +20%</t>
  </si>
  <si>
    <t>Attack +25%</t>
  </si>
  <si>
    <t>Attack +35%</t>
  </si>
  <si>
    <t>Attack +40%</t>
  </si>
  <si>
    <t>Enemy's Skill</t>
  </si>
  <si>
    <t>Dire Wolf (Pack Leader)</t>
  </si>
  <si>
    <r>
      <t xml:space="preserve">Description: </t>
    </r>
    <r>
      <rPr>
        <sz val="10"/>
        <color rgb="FF000000"/>
        <rFont val="Arial"/>
        <family val="2"/>
        <scheme val="minor"/>
      </rPr>
      <t xml:space="preserve">At the start of battle, the Dire Wolf unleashes a resounding roar that unites and emboldens the team, </t>
    </r>
    <r>
      <rPr>
        <b/>
        <sz val="10"/>
        <color rgb="FF000000"/>
        <rFont val="Arial"/>
        <family val="2"/>
        <scheme val="minor"/>
      </rPr>
      <t>increasing</t>
    </r>
    <r>
      <rPr>
        <sz val="10"/>
        <color rgb="FF000000"/>
        <rFont val="Arial"/>
        <family val="2"/>
        <scheme val="minor"/>
      </rPr>
      <t xml:space="preserve"> their </t>
    </r>
    <r>
      <rPr>
        <b/>
        <sz val="10"/>
        <color rgb="FF000000"/>
        <rFont val="Arial"/>
        <family val="2"/>
        <scheme val="minor"/>
      </rPr>
      <t>attack</t>
    </r>
    <r>
      <rPr>
        <sz val="10"/>
        <color rgb="FF000000"/>
        <rFont val="Arial"/>
        <family val="2"/>
        <scheme val="minor"/>
      </rPr>
      <t xml:space="preserve"> by </t>
    </r>
    <r>
      <rPr>
        <b/>
        <sz val="10"/>
        <color rgb="FF000000"/>
        <rFont val="Arial"/>
        <family val="2"/>
        <scheme val="minor"/>
      </rPr>
      <t>20%/40%</t>
    </r>
    <r>
      <rPr>
        <sz val="10"/>
        <color rgb="FF000000"/>
        <rFont val="Arial"/>
        <family val="2"/>
        <scheme val="minor"/>
      </rPr>
      <t>.</t>
    </r>
  </si>
  <si>
    <t>True Damage: 165%</t>
  </si>
  <si>
    <t>Dire Wolf (Pounce)</t>
  </si>
  <si>
    <t>Elemental Strike</t>
  </si>
  <si>
    <r>
      <t xml:space="preserve">True Damage Strike: </t>
    </r>
    <r>
      <rPr>
        <sz val="10"/>
        <color rgb="FF000000"/>
        <rFont val="Arial"/>
        <family val="2"/>
        <scheme val="minor"/>
      </rPr>
      <t>Starbust Stream</t>
    </r>
  </si>
  <si>
    <r>
      <t xml:space="preserve">True Damage Strike: </t>
    </r>
    <r>
      <rPr>
        <sz val="10"/>
        <color rgb="FF000000"/>
        <rFont val="Arial"/>
        <family val="2"/>
        <scheme val="minor"/>
      </rPr>
      <t>Pounce</t>
    </r>
  </si>
  <si>
    <t>Yuno Grinberryall</t>
  </si>
  <si>
    <t>Yuno</t>
  </si>
  <si>
    <t>Black Clover</t>
  </si>
  <si>
    <t>No Limit</t>
  </si>
  <si>
    <t>Yuno (Spirit Dive)</t>
  </si>
  <si>
    <t>Effect Duration</t>
  </si>
  <si>
    <r>
      <t xml:space="preserve">Resilience Boost: </t>
    </r>
    <r>
      <rPr>
        <sz val="10"/>
        <color rgb="FF000000"/>
        <rFont val="Arial"/>
        <family val="2"/>
        <scheme val="minor"/>
      </rPr>
      <t>Spirit Dive</t>
    </r>
  </si>
  <si>
    <r>
      <t xml:space="preserve">When Kirito’s </t>
    </r>
    <r>
      <rPr>
        <b/>
        <sz val="10"/>
        <color rgb="FF000000"/>
        <rFont val="Arial"/>
        <family val="2"/>
        <scheme val="minor"/>
      </rPr>
      <t>health</t>
    </r>
    <r>
      <rPr>
        <sz val="10"/>
        <color rgb="FF000000"/>
        <rFont val="Arial"/>
        <family val="2"/>
        <scheme val="minor"/>
      </rPr>
      <t xml:space="preserve"> drops </t>
    </r>
    <r>
      <rPr>
        <b/>
        <sz val="10"/>
        <color rgb="FF000000"/>
        <rFont val="Arial"/>
        <family val="2"/>
        <scheme val="minor"/>
      </rPr>
      <t>below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50%</t>
    </r>
    <r>
      <rPr>
        <sz val="10"/>
        <color rgb="FF000000"/>
        <rFont val="Arial"/>
        <family val="2"/>
        <scheme val="minor"/>
      </rPr>
      <t xml:space="preserve">, he activates his Dual Wielding skill. This increases his </t>
    </r>
    <r>
      <rPr>
        <b/>
        <sz val="10"/>
        <color rgb="FF000000"/>
        <rFont val="Arial"/>
        <family val="2"/>
        <scheme val="minor"/>
      </rPr>
      <t xml:space="preserve">attack </t>
    </r>
    <r>
      <rPr>
        <sz val="10"/>
        <color rgb="FF000000"/>
        <rFont val="Arial"/>
        <family val="2"/>
        <scheme val="minor"/>
      </rPr>
      <t>by</t>
    </r>
    <r>
      <rPr>
        <b/>
        <sz val="10"/>
        <color rgb="FF000000"/>
        <rFont val="Arial"/>
        <family val="2"/>
        <scheme val="minor"/>
      </rPr>
      <t xml:space="preserve"> 30%/50%</t>
    </r>
    <r>
      <rPr>
        <sz val="10"/>
        <color rgb="FF000000"/>
        <rFont val="Arial"/>
        <family val="2"/>
        <scheme val="minor"/>
      </rPr>
      <t xml:space="preserve"> and his </t>
    </r>
    <r>
      <rPr>
        <b/>
        <sz val="10"/>
        <color rgb="FF000000"/>
        <rFont val="Arial"/>
        <family val="2"/>
        <scheme val="minor"/>
      </rPr>
      <t>speed</t>
    </r>
    <r>
      <rPr>
        <sz val="10"/>
        <color rgb="FF000000"/>
        <rFont val="Arial"/>
        <family val="2"/>
        <scheme val="minor"/>
      </rPr>
      <t xml:space="preserve"> by </t>
    </r>
    <r>
      <rPr>
        <b/>
        <sz val="10"/>
        <color rgb="FF000000"/>
        <rFont val="Arial"/>
        <family val="2"/>
        <scheme val="minor"/>
      </rPr>
      <t xml:space="preserve">50%/70% </t>
    </r>
    <r>
      <rPr>
        <sz val="10"/>
        <color rgb="FF000000"/>
        <rFont val="Arial"/>
        <family val="2"/>
        <scheme val="minor"/>
      </rPr>
      <t>for</t>
    </r>
    <r>
      <rPr>
        <b/>
        <sz val="10"/>
        <color rgb="FF000000"/>
        <rFont val="Arial"/>
        <family val="2"/>
        <scheme val="minor"/>
      </rPr>
      <t xml:space="preserve"> 3 turns</t>
    </r>
    <r>
      <rPr>
        <sz val="10"/>
        <color rgb="FF000000"/>
        <rFont val="Arial"/>
        <family val="2"/>
        <scheme val="minor"/>
      </rPr>
      <t>.</t>
    </r>
  </si>
  <si>
    <r>
      <t xml:space="preserve">When Yuno’s </t>
    </r>
    <r>
      <rPr>
        <b/>
        <sz val="10"/>
        <color rgb="FF000000"/>
        <rFont val="Arial"/>
        <family val="2"/>
        <scheme val="minor"/>
      </rPr>
      <t>health</t>
    </r>
    <r>
      <rPr>
        <sz val="10"/>
        <color rgb="FF000000"/>
        <rFont val="Arial"/>
        <family val="2"/>
        <scheme val="minor"/>
      </rPr>
      <t xml:space="preserve"> drops </t>
    </r>
    <r>
      <rPr>
        <b/>
        <sz val="10"/>
        <color rgb="FF000000"/>
        <rFont val="Arial"/>
        <family val="2"/>
        <scheme val="minor"/>
      </rPr>
      <t>below 50%</t>
    </r>
    <r>
      <rPr>
        <sz val="10"/>
        <color rgb="FF000000"/>
        <rFont val="Arial"/>
        <family val="2"/>
        <scheme val="minor"/>
      </rPr>
      <t xml:space="preserve">, he enters Spirit Dive mode, increasing his </t>
    </r>
    <r>
      <rPr>
        <b/>
        <sz val="10"/>
        <color rgb="FF000000"/>
        <rFont val="Arial"/>
        <family val="2"/>
        <scheme val="minor"/>
      </rPr>
      <t>attack</t>
    </r>
    <r>
      <rPr>
        <sz val="10"/>
        <color rgb="FF000000"/>
        <rFont val="Arial"/>
        <family val="2"/>
        <scheme val="minor"/>
      </rPr>
      <t xml:space="preserve"> by </t>
    </r>
    <r>
      <rPr>
        <b/>
        <sz val="10"/>
        <color rgb="FF000000"/>
        <rFont val="Arial"/>
        <family val="2"/>
        <scheme val="minor"/>
      </rPr>
      <t xml:space="preserve">30%/50% </t>
    </r>
    <r>
      <rPr>
        <sz val="10"/>
        <color rgb="FF000000"/>
        <rFont val="Arial"/>
        <family val="2"/>
        <scheme val="minor"/>
      </rPr>
      <t xml:space="preserve">and his </t>
    </r>
    <r>
      <rPr>
        <b/>
        <sz val="10"/>
        <color rgb="FF000000"/>
        <rFont val="Arial"/>
        <family val="2"/>
        <scheme val="minor"/>
      </rPr>
      <t xml:space="preserve">speed </t>
    </r>
    <r>
      <rPr>
        <sz val="10"/>
        <color rgb="FF000000"/>
        <rFont val="Arial"/>
        <family val="2"/>
        <scheme val="minor"/>
      </rPr>
      <t>by</t>
    </r>
    <r>
      <rPr>
        <b/>
        <sz val="10"/>
        <color rgb="FF000000"/>
        <rFont val="Arial"/>
        <family val="2"/>
        <scheme val="minor"/>
      </rPr>
      <t xml:space="preserve"> 50%/70%</t>
    </r>
    <r>
      <rPr>
        <sz val="10"/>
        <color rgb="FF000000"/>
        <rFont val="Arial"/>
        <family val="2"/>
        <scheme val="minor"/>
      </rPr>
      <t xml:space="preserve"> for </t>
    </r>
    <r>
      <rPr>
        <b/>
        <sz val="10"/>
        <color rgb="FF000000"/>
        <rFont val="Arial"/>
        <family val="2"/>
        <scheme val="minor"/>
      </rPr>
      <t>3 turns</t>
    </r>
    <r>
      <rPr>
        <sz val="10"/>
        <color rgb="FF000000"/>
        <rFont val="Arial"/>
        <family val="2"/>
        <scheme val="minor"/>
      </rPr>
      <t>.</t>
    </r>
  </si>
  <si>
    <t>Elemental Burst</t>
  </si>
  <si>
    <t>Damage: 120%</t>
  </si>
  <si>
    <t>Damage: 105%</t>
  </si>
  <si>
    <t>Damage: 110%</t>
  </si>
  <si>
    <t>Damage: 115%</t>
  </si>
  <si>
    <t>Damage: 125%</t>
  </si>
  <si>
    <t>True Damage: 150%</t>
  </si>
  <si>
    <t>True Damage: 155%</t>
  </si>
  <si>
    <r>
      <t>Kirito unleashes a rapid 16-hit combo that targets a single enemy. The skill dealing</t>
    </r>
    <r>
      <rPr>
        <b/>
        <sz val="10"/>
        <color rgb="FF000000"/>
        <rFont val="Arial"/>
        <family val="2"/>
        <scheme val="minor"/>
      </rPr>
      <t xml:space="preserve"> 150%/170% true damage</t>
    </r>
    <r>
      <rPr>
        <sz val="10"/>
        <color rgb="FF000000"/>
        <rFont val="Arial"/>
        <family val="2"/>
        <scheme val="minor"/>
      </rPr>
      <t xml:space="preserve"> of Kirito’s</t>
    </r>
    <r>
      <rPr>
        <b/>
        <sz val="10"/>
        <color rgb="FF000000"/>
        <rFont val="Arial"/>
        <family val="2"/>
        <scheme val="minor"/>
      </rPr>
      <t xml:space="preserve"> attack</t>
    </r>
    <r>
      <rPr>
        <sz val="10"/>
        <color rgb="FF000000"/>
        <rFont val="Arial"/>
        <family val="2"/>
        <scheme val="minor"/>
      </rPr>
      <t xml:space="preserve">. </t>
    </r>
  </si>
  <si>
    <r>
      <t>Description:</t>
    </r>
    <r>
      <rPr>
        <sz val="10"/>
        <color rgb="FF000000"/>
        <rFont val="Arial"/>
        <family val="2"/>
        <scheme val="minor"/>
      </rPr>
      <t xml:space="preserve"> The Dire Wolf leaps at its target, claws outstretched dealing</t>
    </r>
    <r>
      <rPr>
        <b/>
        <sz val="10"/>
        <color rgb="FF000000"/>
        <rFont val="Arial"/>
        <family val="2"/>
        <scheme val="minor"/>
      </rPr>
      <t xml:space="preserve"> 150%/170% true damage </t>
    </r>
    <r>
      <rPr>
        <sz val="10"/>
        <color rgb="FF000000"/>
        <rFont val="Arial"/>
        <family val="2"/>
        <scheme val="minor"/>
      </rPr>
      <t>of Dire Wolf’s</t>
    </r>
    <r>
      <rPr>
        <b/>
        <sz val="10"/>
        <color rgb="FF000000"/>
        <rFont val="Arial"/>
        <family val="2"/>
        <scheme val="minor"/>
      </rPr>
      <t xml:space="preserve"> attack. </t>
    </r>
  </si>
  <si>
    <r>
      <t>Elemental Burst:</t>
    </r>
    <r>
      <rPr>
        <sz val="10"/>
        <color rgb="FF000000"/>
        <rFont val="Arial"/>
        <family val="2"/>
        <scheme val="minor"/>
      </rPr>
      <t xml:space="preserve"> Spirit Storm</t>
    </r>
  </si>
  <si>
    <r>
      <t xml:space="preserve">Yuno uses his aero powers to create a strong wind that hits all enemies. This skill deals </t>
    </r>
    <r>
      <rPr>
        <b/>
        <sz val="10"/>
        <color rgb="FF000000"/>
        <rFont val="Arial"/>
        <family val="2"/>
        <scheme val="minor"/>
      </rPr>
      <t>105%/125%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aero damage</t>
    </r>
    <r>
      <rPr>
        <sz val="10"/>
        <color rgb="FF000000"/>
        <rFont val="Arial"/>
        <family val="2"/>
        <scheme val="minor"/>
      </rPr>
      <t xml:space="preserve"> to all enemies.</t>
    </r>
  </si>
  <si>
    <t>Yuno (Spirit Storm)</t>
  </si>
  <si>
    <t>Mikasa</t>
  </si>
  <si>
    <t>My Hero Academia</t>
  </si>
  <si>
    <t>All Might</t>
  </si>
  <si>
    <t>Toshinori Yagi</t>
  </si>
  <si>
    <t>Attack on Titan</t>
  </si>
  <si>
    <t>Mikasa Ackerman</t>
  </si>
  <si>
    <t>Momo</t>
  </si>
  <si>
    <t>Momo Yaoyorozu</t>
  </si>
  <si>
    <t>Guardian’s Blessing</t>
  </si>
  <si>
    <t>Momo (Quick Creation)</t>
  </si>
  <si>
    <t>1 turn</t>
  </si>
  <si>
    <t>22% Chance, Lowest Health, Damage -15%</t>
  </si>
  <si>
    <t>26% Chance, Lowest Health, Damage -25%</t>
  </si>
  <si>
    <t>24% Chance, Lowest Health, Damage -20%</t>
  </si>
  <si>
    <t>28% Chance, Lowest Health, Damage -30%</t>
  </si>
  <si>
    <t>30% Chance, Lowest Health, Damage -35%</t>
  </si>
  <si>
    <t>Accuracy: -40%</t>
  </si>
  <si>
    <t>Accuracy: -25%</t>
  </si>
  <si>
    <t>Accuracy: -20%</t>
  </si>
  <si>
    <t>Accuracy: -30%</t>
  </si>
  <si>
    <t>Accuracy: -35%</t>
  </si>
  <si>
    <t>2 turns</t>
  </si>
  <si>
    <t>Blind Fog</t>
  </si>
  <si>
    <r>
      <t>Blind Fog:</t>
    </r>
    <r>
      <rPr>
        <sz val="10"/>
        <color rgb="FF000000"/>
        <rFont val="Arial"/>
        <family val="2"/>
        <scheme val="minor"/>
      </rPr>
      <t xml:space="preserve"> Flash Bang Grenade</t>
    </r>
  </si>
  <si>
    <t>Momo (Flash Bang Grenade)</t>
  </si>
  <si>
    <r>
      <t>Guardian’s Blessing:</t>
    </r>
    <r>
      <rPr>
        <sz val="10"/>
        <color rgb="FF000000"/>
        <rFont val="Arial"/>
        <family val="2"/>
        <scheme val="minor"/>
      </rPr>
      <t xml:space="preserve"> Quick Creation</t>
    </r>
  </si>
  <si>
    <r>
      <t xml:space="preserve">Momo creates a flash bang grenade and throws it at the enemy team. This skill blinds all enemies, </t>
    </r>
    <r>
      <rPr>
        <b/>
        <sz val="10"/>
        <color rgb="FF000000"/>
        <rFont val="Arial"/>
        <family val="2"/>
        <scheme val="minor"/>
      </rPr>
      <t>reducing</t>
    </r>
    <r>
      <rPr>
        <sz val="10"/>
        <color rgb="FF000000"/>
        <rFont val="Arial"/>
        <family val="2"/>
        <scheme val="minor"/>
      </rPr>
      <t xml:space="preserve"> their attack </t>
    </r>
    <r>
      <rPr>
        <b/>
        <sz val="10"/>
        <color rgb="FF000000"/>
        <rFont val="Arial"/>
        <family val="2"/>
        <scheme val="minor"/>
      </rPr>
      <t>accuracy</t>
    </r>
    <r>
      <rPr>
        <sz val="10"/>
        <color rgb="FF000000"/>
        <rFont val="Arial"/>
        <family val="2"/>
        <scheme val="minor"/>
      </rPr>
      <t xml:space="preserve"> by </t>
    </r>
    <r>
      <rPr>
        <b/>
        <sz val="10"/>
        <color rgb="FF000000"/>
        <rFont val="Arial"/>
        <family val="2"/>
        <scheme val="minor"/>
      </rPr>
      <t>20%/40%</t>
    </r>
    <r>
      <rPr>
        <sz val="10"/>
        <color rgb="FF000000"/>
        <rFont val="Arial"/>
        <family val="2"/>
        <scheme val="minor"/>
      </rPr>
      <t xml:space="preserve"> for</t>
    </r>
    <r>
      <rPr>
        <b/>
        <sz val="10"/>
        <color rgb="FF000000"/>
        <rFont val="Arial"/>
        <family val="2"/>
        <scheme val="minor"/>
      </rPr>
      <t xml:space="preserve"> 2 turns</t>
    </r>
    <r>
      <rPr>
        <sz val="10"/>
        <color rgb="FF000000"/>
        <rFont val="Arial"/>
        <family val="2"/>
        <scheme val="minor"/>
      </rPr>
      <t>.</t>
    </r>
  </si>
  <si>
    <t>Damage Taken</t>
  </si>
  <si>
    <t>Damage -5%</t>
  </si>
  <si>
    <t>Damage -10%</t>
  </si>
  <si>
    <t>Damage -15%</t>
  </si>
  <si>
    <t>Damage -20%</t>
  </si>
  <si>
    <t>Damage -25%</t>
  </si>
  <si>
    <r>
      <t xml:space="preserve">All Might’s One For All reduces </t>
    </r>
    <r>
      <rPr>
        <b/>
        <sz val="10"/>
        <color rgb="FF000000"/>
        <rFont val="Arial"/>
        <family val="2"/>
        <scheme val="minor"/>
      </rPr>
      <t>damage</t>
    </r>
    <r>
      <rPr>
        <sz val="10"/>
        <color rgb="FF000000"/>
        <rFont val="Arial"/>
        <family val="2"/>
        <scheme val="minor"/>
      </rPr>
      <t xml:space="preserve"> taken by</t>
    </r>
    <r>
      <rPr>
        <b/>
        <sz val="10"/>
        <color rgb="FF000000"/>
        <rFont val="Arial"/>
        <family val="2"/>
        <scheme val="minor"/>
      </rPr>
      <t xml:space="preserve"> 5%/25%</t>
    </r>
    <r>
      <rPr>
        <sz val="10"/>
        <color rgb="FF000000"/>
        <rFont val="Arial"/>
        <family val="2"/>
        <scheme val="minor"/>
      </rPr>
      <t>.</t>
    </r>
  </si>
  <si>
    <t>Fortitude</t>
  </si>
  <si>
    <r>
      <t xml:space="preserve">Fortitude: </t>
    </r>
    <r>
      <rPr>
        <sz val="10"/>
        <color rgb="FF000000"/>
        <rFont val="Arial"/>
        <family val="2"/>
        <scheme val="minor"/>
      </rPr>
      <t xml:space="preserve">One For All </t>
    </r>
  </si>
  <si>
    <r>
      <t xml:space="preserve">All Might delivers a powerful punch to a single enemy, dealing </t>
    </r>
    <r>
      <rPr>
        <b/>
        <sz val="10"/>
        <color rgb="FF000000"/>
        <rFont val="Arial"/>
        <family val="2"/>
        <scheme val="minor"/>
      </rPr>
      <t xml:space="preserve">150%/170% true damage </t>
    </r>
    <r>
      <rPr>
        <sz val="10"/>
        <color rgb="FF000000"/>
        <rFont val="Arial"/>
        <family val="2"/>
        <scheme val="minor"/>
      </rPr>
      <t xml:space="preserve">of All Might's </t>
    </r>
    <r>
      <rPr>
        <b/>
        <sz val="10"/>
        <color rgb="FF000000"/>
        <rFont val="Arial"/>
        <family val="2"/>
        <scheme val="minor"/>
      </rPr>
      <t>attack</t>
    </r>
    <r>
      <rPr>
        <sz val="10"/>
        <color rgb="FF000000"/>
        <rFont val="Arial"/>
        <family val="2"/>
        <scheme val="minor"/>
      </rPr>
      <t>.</t>
    </r>
  </si>
  <si>
    <r>
      <t xml:space="preserve">True Damage Strike: </t>
    </r>
    <r>
      <rPr>
        <sz val="10"/>
        <color rgb="FF000000"/>
        <rFont val="Arial"/>
        <family val="2"/>
        <scheme val="minor"/>
      </rPr>
      <t>United States of Smash</t>
    </r>
  </si>
  <si>
    <t>All Might (United States of Smash)</t>
  </si>
  <si>
    <r>
      <t xml:space="preserve">This skill reduces the </t>
    </r>
    <r>
      <rPr>
        <b/>
        <sz val="10"/>
        <color rgb="FF000000"/>
        <rFont val="Arial"/>
        <family val="2"/>
        <scheme val="minor"/>
      </rPr>
      <t>damage</t>
    </r>
    <r>
      <rPr>
        <sz val="10"/>
        <color rgb="FF000000"/>
        <rFont val="Arial"/>
        <family val="2"/>
        <scheme val="minor"/>
      </rPr>
      <t xml:space="preserve"> taken by</t>
    </r>
    <r>
      <rPr>
        <b/>
        <sz val="10"/>
        <color rgb="FF000000"/>
        <rFont val="Arial"/>
        <family val="2"/>
        <scheme val="minor"/>
      </rPr>
      <t xml:space="preserve"> 5%/20%</t>
    </r>
    <r>
      <rPr>
        <sz val="10"/>
        <color rgb="FF000000"/>
        <rFont val="Arial"/>
        <family val="2"/>
        <scheme val="minor"/>
      </rPr>
      <t xml:space="preserve"> whenever you are hit.</t>
    </r>
  </si>
  <si>
    <t>All Might (One For All)</t>
  </si>
  <si>
    <t>Each Turn</t>
  </si>
  <si>
    <r>
      <rPr>
        <b/>
        <sz val="10"/>
        <color rgb="FF000000"/>
        <rFont val="Arial"/>
        <family val="2"/>
        <scheme val="minor"/>
      </rPr>
      <t>Each turn</t>
    </r>
    <r>
      <rPr>
        <sz val="10"/>
        <color rgb="FF000000"/>
        <rFont val="Arial"/>
        <family val="2"/>
        <scheme val="minor"/>
      </rPr>
      <t xml:space="preserve">, your character's has a </t>
    </r>
    <r>
      <rPr>
        <b/>
        <sz val="10"/>
        <color rgb="FF000000"/>
        <rFont val="Arial"/>
        <family val="2"/>
        <scheme val="minor"/>
      </rPr>
      <t>22%/30% chance</t>
    </r>
    <r>
      <rPr>
        <sz val="10"/>
        <color rgb="FF000000"/>
        <rFont val="Arial"/>
        <family val="2"/>
        <scheme val="minor"/>
      </rPr>
      <t xml:space="preserve"> to provides a protective shield to the ally with the</t>
    </r>
    <r>
      <rPr>
        <b/>
        <sz val="10"/>
        <color rgb="FF000000"/>
        <rFont val="Arial"/>
        <family val="2"/>
        <scheme val="minor"/>
      </rPr>
      <t xml:space="preserve"> lowest health</t>
    </r>
    <r>
      <rPr>
        <sz val="10"/>
        <color rgb="FF000000"/>
        <rFont val="Arial"/>
        <family val="2"/>
        <scheme val="minor"/>
      </rPr>
      <t xml:space="preserve">, reducing the </t>
    </r>
    <r>
      <rPr>
        <b/>
        <sz val="10"/>
        <color rgb="FF000000"/>
        <rFont val="Arial"/>
        <family val="2"/>
        <scheme val="minor"/>
      </rPr>
      <t>damage</t>
    </r>
    <r>
      <rPr>
        <sz val="10"/>
        <color rgb="FF000000"/>
        <rFont val="Arial"/>
        <family val="2"/>
        <scheme val="minor"/>
      </rPr>
      <t xml:space="preserve"> they take by</t>
    </r>
    <r>
      <rPr>
        <b/>
        <sz val="10"/>
        <color rgb="FF000000"/>
        <rFont val="Arial"/>
        <family val="2"/>
        <scheme val="minor"/>
      </rPr>
      <t xml:space="preserve"> 15%/35%</t>
    </r>
    <r>
      <rPr>
        <sz val="10"/>
        <color rgb="FF000000"/>
        <rFont val="Arial"/>
        <family val="2"/>
        <scheme val="minor"/>
      </rPr>
      <t xml:space="preserve"> for </t>
    </r>
    <r>
      <rPr>
        <b/>
        <sz val="10"/>
        <color rgb="FF000000"/>
        <rFont val="Arial"/>
        <family val="2"/>
        <scheme val="minor"/>
      </rPr>
      <t>1 turn</t>
    </r>
    <r>
      <rPr>
        <sz val="10"/>
        <color rgb="FF000000"/>
        <rFont val="Arial"/>
        <family val="2"/>
        <scheme val="minor"/>
      </rPr>
      <t>.</t>
    </r>
  </si>
  <si>
    <r>
      <rPr>
        <b/>
        <sz val="10"/>
        <color rgb="FF000000"/>
        <rFont val="Arial"/>
        <family val="2"/>
        <scheme val="minor"/>
      </rPr>
      <t>Each turn</t>
    </r>
    <r>
      <rPr>
        <sz val="10"/>
        <color rgb="FF000000"/>
        <rFont val="Arial"/>
        <family val="2"/>
        <scheme val="minor"/>
      </rPr>
      <t xml:space="preserve">, Momo has a </t>
    </r>
    <r>
      <rPr>
        <b/>
        <sz val="10"/>
        <color rgb="FF000000"/>
        <rFont val="Arial"/>
        <family val="2"/>
        <scheme val="minor"/>
      </rPr>
      <t>22%/30% chance</t>
    </r>
    <r>
      <rPr>
        <sz val="10"/>
        <color rgb="FF000000"/>
        <rFont val="Arial"/>
        <family val="2"/>
        <scheme val="minor"/>
      </rPr>
      <t xml:space="preserve"> to quickly create a defensive item. This item provides a protective shield to the ally with the </t>
    </r>
    <r>
      <rPr>
        <b/>
        <sz val="10"/>
        <color rgb="FF000000"/>
        <rFont val="Arial"/>
        <family val="2"/>
        <scheme val="minor"/>
      </rPr>
      <t>lowest health</t>
    </r>
    <r>
      <rPr>
        <sz val="10"/>
        <color rgb="FF000000"/>
        <rFont val="Arial"/>
        <family val="2"/>
        <scheme val="minor"/>
      </rPr>
      <t>, reducing the</t>
    </r>
    <r>
      <rPr>
        <b/>
        <sz val="10"/>
        <color rgb="FF000000"/>
        <rFont val="Arial"/>
        <family val="2"/>
        <scheme val="minor"/>
      </rPr>
      <t xml:space="preserve"> damage</t>
    </r>
    <r>
      <rPr>
        <sz val="10"/>
        <color rgb="FF000000"/>
        <rFont val="Arial"/>
        <family val="2"/>
        <scheme val="minor"/>
      </rPr>
      <t xml:space="preserve"> they take by </t>
    </r>
    <r>
      <rPr>
        <b/>
        <sz val="10"/>
        <color rgb="FF000000"/>
        <rFont val="Arial"/>
        <family val="2"/>
        <scheme val="minor"/>
      </rPr>
      <t>15%/35%</t>
    </r>
    <r>
      <rPr>
        <sz val="10"/>
        <color rgb="FF000000"/>
        <rFont val="Arial"/>
        <family val="2"/>
        <scheme val="minor"/>
      </rPr>
      <t xml:space="preserve"> for 1 turn.</t>
    </r>
  </si>
  <si>
    <t>Bleeding Strike</t>
  </si>
  <si>
    <r>
      <t xml:space="preserve">Bleeding Strike: </t>
    </r>
    <r>
      <rPr>
        <sz val="10"/>
        <color rgb="FF000000"/>
        <rFont val="Arial"/>
        <family val="2"/>
        <scheme val="minor"/>
      </rPr>
      <t>Ackerman Instincts</t>
    </r>
  </si>
  <si>
    <t>20% Chance, Bleed, Max Health -5%</t>
  </si>
  <si>
    <t>10% Chance, Bleed, Max Health -5%</t>
  </si>
  <si>
    <t>25% Chance, Bleed, Max Health -5%</t>
  </si>
  <si>
    <t>15% Chance, Bleed, Max Health -5%</t>
  </si>
  <si>
    <t>30% Chance, Bleed, Max Health -5%</t>
  </si>
  <si>
    <t>Mikasa (Ackerman Instincts)</t>
  </si>
  <si>
    <r>
      <t xml:space="preserve">True Damage Burst: </t>
    </r>
    <r>
      <rPr>
        <sz val="10"/>
        <color rgb="FF000000"/>
        <rFont val="Arial"/>
        <family val="2"/>
        <scheme val="minor"/>
      </rPr>
      <t>Blade Frenzy</t>
    </r>
  </si>
  <si>
    <t>Mikasa (Blade Frenzy)</t>
  </si>
  <si>
    <t>Re:Zero</t>
  </si>
  <si>
    <t>Rem</t>
  </si>
  <si>
    <r>
      <t xml:space="preserve">Rem attacks a single enemy with her flail, </t>
    </r>
    <r>
      <rPr>
        <b/>
        <sz val="10"/>
        <color rgb="FF000000"/>
        <rFont val="Arial"/>
        <family val="2"/>
        <scheme val="minor"/>
      </rPr>
      <t>150%/170% true damage</t>
    </r>
    <r>
      <rPr>
        <sz val="10"/>
        <color rgb="FF000000"/>
        <rFont val="Arial"/>
        <family val="2"/>
        <scheme val="minor"/>
      </rPr>
      <t xml:space="preserve"> of Rem's </t>
    </r>
    <r>
      <rPr>
        <b/>
        <sz val="10"/>
        <color rgb="FF000000"/>
        <rFont val="Arial"/>
        <family val="2"/>
        <scheme val="minor"/>
      </rPr>
      <t>attack</t>
    </r>
    <r>
      <rPr>
        <sz val="10"/>
        <color rgb="FF000000"/>
        <rFont val="Arial"/>
        <family val="2"/>
        <scheme val="minor"/>
      </rPr>
      <t>.</t>
    </r>
  </si>
  <si>
    <r>
      <t xml:space="preserve">True Damage Strike: </t>
    </r>
    <r>
      <rPr>
        <sz val="10"/>
        <color rgb="FF000000"/>
        <rFont val="Arial"/>
        <family val="2"/>
        <scheme val="minor"/>
      </rPr>
      <t>Morningstar</t>
    </r>
  </si>
  <si>
    <t>22% Chance, Lowest Health, Health +5%</t>
  </si>
  <si>
    <t>24% Chance, Lowest Health, Health +8%</t>
  </si>
  <si>
    <t>26% Chance, Lowest Health, Health +11%</t>
  </si>
  <si>
    <t>28% Chance, Lowest Health, Health +14%</t>
  </si>
  <si>
    <t>30% Chance, Lowest Health, Health +18%</t>
  </si>
  <si>
    <r>
      <rPr>
        <b/>
        <sz val="10"/>
        <color rgb="FF000000"/>
        <rFont val="Arial"/>
        <family val="2"/>
        <scheme val="minor"/>
      </rPr>
      <t>Each turn</t>
    </r>
    <r>
      <rPr>
        <sz val="10"/>
        <color rgb="FF000000"/>
        <rFont val="Arial"/>
        <family val="2"/>
        <scheme val="minor"/>
      </rPr>
      <t xml:space="preserve">, your character's has a </t>
    </r>
    <r>
      <rPr>
        <b/>
        <sz val="10"/>
        <color rgb="FF000000"/>
        <rFont val="Arial"/>
        <family val="2"/>
        <scheme val="minor"/>
      </rPr>
      <t>22%/30% chance</t>
    </r>
    <r>
      <rPr>
        <sz val="10"/>
        <color rgb="FF000000"/>
        <rFont val="Arial"/>
        <family val="2"/>
        <scheme val="minor"/>
      </rPr>
      <t xml:space="preserve"> to </t>
    </r>
    <r>
      <rPr>
        <b/>
        <sz val="10"/>
        <color rgb="FF000000"/>
        <rFont val="Arial"/>
        <family val="2"/>
        <scheme val="minor"/>
      </rPr>
      <t>heal</t>
    </r>
    <r>
      <rPr>
        <sz val="10"/>
        <color rgb="FF000000"/>
        <rFont val="Arial"/>
        <family val="2"/>
        <scheme val="minor"/>
      </rPr>
      <t xml:space="preserve"> one ally with the</t>
    </r>
    <r>
      <rPr>
        <b/>
        <sz val="10"/>
        <color rgb="FF000000"/>
        <rFont val="Arial"/>
        <family val="2"/>
        <scheme val="minor"/>
      </rPr>
      <t xml:space="preserve"> lowest health</t>
    </r>
    <r>
      <rPr>
        <sz val="10"/>
        <color rgb="FF000000"/>
        <rFont val="Arial"/>
        <family val="2"/>
        <scheme val="minor"/>
      </rPr>
      <t xml:space="preserve">. The healing effect restores </t>
    </r>
    <r>
      <rPr>
        <b/>
        <sz val="10"/>
        <color rgb="FF000000"/>
        <rFont val="Arial"/>
        <family val="2"/>
        <scheme val="minor"/>
      </rPr>
      <t>5%/18%</t>
    </r>
    <r>
      <rPr>
        <sz val="10"/>
        <color rgb="FF000000"/>
        <rFont val="Arial"/>
        <family val="2"/>
        <scheme val="minor"/>
      </rPr>
      <t xml:space="preserve"> of the ally’s maximum health.</t>
    </r>
  </si>
  <si>
    <r>
      <t xml:space="preserve">This skill gives your character's attacks a </t>
    </r>
    <r>
      <rPr>
        <b/>
        <sz val="10"/>
        <color rgb="FF000000"/>
        <rFont val="Arial"/>
        <family val="2"/>
        <scheme val="minor"/>
      </rPr>
      <t xml:space="preserve">10%/30% chance </t>
    </r>
    <r>
      <rPr>
        <sz val="10"/>
        <color rgb="FF000000"/>
        <rFont val="Arial"/>
        <family val="2"/>
        <scheme val="minor"/>
      </rPr>
      <t xml:space="preserve">to inflict the </t>
    </r>
    <r>
      <rPr>
        <b/>
        <sz val="10"/>
        <color rgb="FF000000"/>
        <rFont val="Arial"/>
        <family val="2"/>
        <scheme val="minor"/>
      </rPr>
      <t>Bleed</t>
    </r>
    <r>
      <rPr>
        <sz val="10"/>
        <color rgb="FF000000"/>
        <rFont val="Arial"/>
        <family val="2"/>
        <scheme val="minor"/>
      </rPr>
      <t xml:space="preserve"> status on enemies. Enemies affected by Bleed lose </t>
    </r>
    <r>
      <rPr>
        <b/>
        <sz val="10"/>
        <color rgb="FF000000"/>
        <rFont val="Arial"/>
        <family val="2"/>
        <scheme val="minor"/>
      </rPr>
      <t>5%</t>
    </r>
    <r>
      <rPr>
        <sz val="10"/>
        <color rgb="FF000000"/>
        <rFont val="Arial"/>
        <family val="2"/>
        <scheme val="minor"/>
      </rPr>
      <t xml:space="preserve"> of their </t>
    </r>
    <r>
      <rPr>
        <b/>
        <sz val="10"/>
        <color rgb="FF000000"/>
        <rFont val="Arial"/>
        <family val="2"/>
        <scheme val="minor"/>
      </rPr>
      <t>maximum health</t>
    </r>
    <r>
      <rPr>
        <sz val="10"/>
        <color rgb="FF000000"/>
        <rFont val="Arial"/>
        <family val="2"/>
        <scheme val="minor"/>
      </rPr>
      <t xml:space="preserve"> over </t>
    </r>
    <r>
      <rPr>
        <b/>
        <sz val="10"/>
        <color rgb="FF000000"/>
        <rFont val="Arial"/>
        <family val="2"/>
        <scheme val="minor"/>
      </rPr>
      <t>3 turns</t>
    </r>
    <r>
      <rPr>
        <sz val="10"/>
        <color rgb="FF000000"/>
        <rFont val="Arial"/>
        <family val="2"/>
        <scheme val="minor"/>
      </rPr>
      <t>.</t>
    </r>
  </si>
  <si>
    <r>
      <t>Mikasa’s attacks have a</t>
    </r>
    <r>
      <rPr>
        <b/>
        <sz val="10"/>
        <color rgb="FF000000"/>
        <rFont val="Arial"/>
        <family val="2"/>
        <scheme val="minor"/>
      </rPr>
      <t xml:space="preserve"> 10%/30% chance</t>
    </r>
    <r>
      <rPr>
        <sz val="10"/>
        <color rgb="FF000000"/>
        <rFont val="Arial"/>
        <family val="2"/>
        <scheme val="minor"/>
      </rPr>
      <t xml:space="preserve"> to inflict the b</t>
    </r>
    <r>
      <rPr>
        <b/>
        <sz val="10"/>
        <color rgb="FF000000"/>
        <rFont val="Arial"/>
        <family val="2"/>
        <scheme val="minor"/>
      </rPr>
      <t>leed</t>
    </r>
    <r>
      <rPr>
        <sz val="10"/>
        <color rgb="FF000000"/>
        <rFont val="Arial"/>
        <family val="2"/>
        <scheme val="minor"/>
      </rPr>
      <t xml:space="preserve"> status on enemies. Enemies affected by bleed lose </t>
    </r>
    <r>
      <rPr>
        <b/>
        <sz val="10"/>
        <color rgb="FF000000"/>
        <rFont val="Arial"/>
        <family val="2"/>
        <scheme val="minor"/>
      </rPr>
      <t xml:space="preserve">5% </t>
    </r>
    <r>
      <rPr>
        <sz val="10"/>
        <color rgb="FF000000"/>
        <rFont val="Arial"/>
        <family val="2"/>
        <scheme val="minor"/>
      </rPr>
      <t xml:space="preserve">of their </t>
    </r>
    <r>
      <rPr>
        <b/>
        <sz val="10"/>
        <color rgb="FF000000"/>
        <rFont val="Arial"/>
        <family val="2"/>
        <scheme val="minor"/>
      </rPr>
      <t>max health</t>
    </r>
    <r>
      <rPr>
        <sz val="10"/>
        <color rgb="FF000000"/>
        <rFont val="Arial"/>
        <family val="2"/>
        <scheme val="minor"/>
      </rPr>
      <t xml:space="preserve"> for </t>
    </r>
    <r>
      <rPr>
        <b/>
        <sz val="10"/>
        <color rgb="FF000000"/>
        <rFont val="Arial"/>
        <family val="2"/>
        <scheme val="minor"/>
      </rPr>
      <t>3 turns</t>
    </r>
    <r>
      <rPr>
        <sz val="10"/>
        <color rgb="FF000000"/>
        <rFont val="Arial"/>
        <family val="2"/>
        <scheme val="minor"/>
      </rPr>
      <t>.</t>
    </r>
  </si>
  <si>
    <r>
      <rPr>
        <b/>
        <sz val="10"/>
        <color rgb="FF000000"/>
        <rFont val="Arial"/>
        <family val="2"/>
        <scheme val="minor"/>
      </rPr>
      <t>Each turn</t>
    </r>
    <r>
      <rPr>
        <sz val="10"/>
        <color rgb="FF000000"/>
        <rFont val="Arial"/>
        <family val="2"/>
        <scheme val="minor"/>
      </rPr>
      <t xml:space="preserve">, Rem has a </t>
    </r>
    <r>
      <rPr>
        <b/>
        <sz val="10"/>
        <color rgb="FF000000"/>
        <rFont val="Arial"/>
        <family val="2"/>
        <scheme val="minor"/>
      </rPr>
      <t>22%/30% chance</t>
    </r>
    <r>
      <rPr>
        <sz val="10"/>
        <color rgb="FF000000"/>
        <rFont val="Arial"/>
        <family val="2"/>
        <scheme val="minor"/>
      </rPr>
      <t xml:space="preserve"> to </t>
    </r>
    <r>
      <rPr>
        <b/>
        <sz val="10"/>
        <color rgb="FF000000"/>
        <rFont val="Arial"/>
        <family val="2"/>
        <scheme val="minor"/>
      </rPr>
      <t>heal</t>
    </r>
    <r>
      <rPr>
        <sz val="10"/>
        <color rgb="FF000000"/>
        <rFont val="Arial"/>
        <family val="2"/>
        <scheme val="minor"/>
      </rPr>
      <t xml:space="preserve"> one ally with the </t>
    </r>
    <r>
      <rPr>
        <b/>
        <sz val="10"/>
        <color rgb="FF000000"/>
        <rFont val="Arial"/>
        <family val="2"/>
        <scheme val="minor"/>
      </rPr>
      <t>lowest health</t>
    </r>
    <r>
      <rPr>
        <sz val="10"/>
        <color rgb="FF000000"/>
        <rFont val="Arial"/>
        <family val="2"/>
        <scheme val="minor"/>
      </rPr>
      <t xml:space="preserve">. The healing effect restores </t>
    </r>
    <r>
      <rPr>
        <b/>
        <sz val="10"/>
        <color rgb="FF000000"/>
        <rFont val="Arial"/>
        <family val="2"/>
        <scheme val="minor"/>
      </rPr>
      <t xml:space="preserve">5%/18% </t>
    </r>
    <r>
      <rPr>
        <sz val="10"/>
        <color rgb="FF000000"/>
        <rFont val="Arial"/>
        <family val="2"/>
        <scheme val="minor"/>
      </rPr>
      <t>of the ally’s maximum health.</t>
    </r>
  </si>
  <si>
    <t>Healing Touch</t>
  </si>
  <si>
    <t>Rem (Oni Bloodline)</t>
  </si>
  <si>
    <r>
      <t xml:space="preserve">Healing Touch: </t>
    </r>
    <r>
      <rPr>
        <sz val="10"/>
        <color rgb="FF000000"/>
        <rFont val="Arial"/>
        <family val="2"/>
        <scheme val="minor"/>
      </rPr>
      <t>Oni Bloodline</t>
    </r>
  </si>
  <si>
    <t>Hunter</t>
  </si>
  <si>
    <r>
      <t xml:space="preserve">Mikasa unleashes a flurry of attacks with her dual blades on all enemies, dealing </t>
    </r>
    <r>
      <rPr>
        <b/>
        <sz val="10"/>
        <color rgb="FF000000"/>
        <rFont val="Arial"/>
        <family val="2"/>
        <scheme val="minor"/>
      </rPr>
      <t>125%/145%</t>
    </r>
    <r>
      <rPr>
        <sz val="10"/>
        <color rgb="FF000000"/>
        <rFont val="Arial"/>
        <family val="2"/>
        <scheme val="minor"/>
      </rPr>
      <t xml:space="preserve"> true damage of Mikasa's attack.</t>
    </r>
  </si>
  <si>
    <t>Currecy</t>
  </si>
  <si>
    <t>AniCrystals</t>
  </si>
  <si>
    <t>AniCoins</t>
  </si>
  <si>
    <t>Skills</t>
  </si>
  <si>
    <t>Quotes</t>
  </si>
  <si>
    <t>Once you elites trip up, you're so weak.</t>
  </si>
  <si>
    <t>I may be a solo player, but in this virtual world I feel more alive than ever.</t>
  </si>
  <si>
    <t>True Damage Strike (ATK/DEF/SPD)</t>
  </si>
  <si>
    <t>True Damage Burst (ATK/DEF/SPD)</t>
  </si>
  <si>
    <t>Boost Strike</t>
  </si>
  <si>
    <t>ATK/DEF: 10%</t>
  </si>
  <si>
    <t>ATK/DEF: 15%</t>
  </si>
  <si>
    <t>ATK/DEF: 20%</t>
  </si>
  <si>
    <t>ATK/DEF: 25%</t>
  </si>
  <si>
    <t>ATK/DEF: 30%</t>
  </si>
  <si>
    <r>
      <t xml:space="preserve">Deals </t>
    </r>
    <r>
      <rPr>
        <b/>
        <sz val="10"/>
        <color rgb="FF000000"/>
        <rFont val="Arial"/>
        <family val="2"/>
        <scheme val="minor"/>
      </rPr>
      <t>element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damage</t>
    </r>
    <r>
      <rPr>
        <sz val="10"/>
        <color rgb="FF000000"/>
        <rFont val="Arial"/>
        <family val="2"/>
        <scheme val="minor"/>
      </rPr>
      <t xml:space="preserve"> equal to </t>
    </r>
    <r>
      <rPr>
        <b/>
        <sz val="10"/>
        <color rgb="FF000000"/>
        <rFont val="Arial"/>
        <family val="2"/>
        <scheme val="minor"/>
      </rPr>
      <t xml:space="preserve">130%/150% </t>
    </r>
    <r>
      <rPr>
        <sz val="10"/>
        <color rgb="FF000000"/>
        <rFont val="Arial"/>
        <family val="2"/>
        <scheme val="minor"/>
      </rPr>
      <t>to a single enemy.</t>
    </r>
  </si>
  <si>
    <r>
      <t xml:space="preserve">Deals </t>
    </r>
    <r>
      <rPr>
        <b/>
        <sz val="10"/>
        <color rgb="FF000000"/>
        <rFont val="Arial"/>
        <family val="2"/>
        <scheme val="minor"/>
      </rPr>
      <t>element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damage</t>
    </r>
    <r>
      <rPr>
        <sz val="10"/>
        <color rgb="FF000000"/>
        <rFont val="Arial"/>
        <family val="2"/>
        <scheme val="minor"/>
      </rPr>
      <t xml:space="preserve"> equal to </t>
    </r>
    <r>
      <rPr>
        <b/>
        <sz val="10"/>
        <color rgb="FF000000"/>
        <rFont val="Arial"/>
        <family val="2"/>
        <scheme val="minor"/>
      </rPr>
      <t xml:space="preserve">105%/125% </t>
    </r>
    <r>
      <rPr>
        <sz val="10"/>
        <color rgb="FF000000"/>
        <rFont val="Arial"/>
        <family val="2"/>
        <scheme val="minor"/>
      </rPr>
      <t>to all enemies.</t>
    </r>
  </si>
  <si>
    <r>
      <t xml:space="preserve">Deals </t>
    </r>
    <r>
      <rPr>
        <b/>
        <sz val="10"/>
        <color rgb="FF000000"/>
        <rFont val="Arial"/>
        <family val="2"/>
        <scheme val="minor"/>
      </rPr>
      <t>true damage</t>
    </r>
    <r>
      <rPr>
        <sz val="10"/>
        <color rgb="FF000000"/>
        <rFont val="Arial"/>
        <family val="2"/>
        <scheme val="minor"/>
      </rPr>
      <t xml:space="preserve"> equal to </t>
    </r>
    <r>
      <rPr>
        <b/>
        <sz val="10"/>
        <color rgb="FF000000"/>
        <rFont val="Arial"/>
        <family val="2"/>
        <scheme val="minor"/>
      </rPr>
      <t>150%/170%</t>
    </r>
    <r>
      <rPr>
        <sz val="10"/>
        <color rgb="FF000000"/>
        <rFont val="Arial"/>
        <family val="2"/>
        <scheme val="minor"/>
      </rPr>
      <t xml:space="preserve"> of your character’s </t>
    </r>
    <r>
      <rPr>
        <b/>
        <sz val="10"/>
        <color rgb="FF000000"/>
        <rFont val="Arial"/>
        <family val="2"/>
        <scheme val="minor"/>
      </rPr>
      <t xml:space="preserve">ATK/DEF/SPD </t>
    </r>
    <r>
      <rPr>
        <sz val="10"/>
        <color rgb="FF000000"/>
        <rFont val="Arial"/>
        <family val="2"/>
        <scheme val="minor"/>
      </rPr>
      <t>to a single enemy.</t>
    </r>
  </si>
  <si>
    <r>
      <t xml:space="preserve">Deals </t>
    </r>
    <r>
      <rPr>
        <b/>
        <sz val="10"/>
        <color rgb="FF000000"/>
        <rFont val="Arial"/>
        <family val="2"/>
        <scheme val="minor"/>
      </rPr>
      <t xml:space="preserve">true damage </t>
    </r>
    <r>
      <rPr>
        <sz val="10"/>
        <color rgb="FF000000"/>
        <rFont val="Arial"/>
        <family val="2"/>
        <scheme val="minor"/>
      </rPr>
      <t xml:space="preserve">equal to </t>
    </r>
    <r>
      <rPr>
        <b/>
        <sz val="10"/>
        <color rgb="FF000000"/>
        <rFont val="Arial"/>
        <family val="2"/>
        <scheme val="minor"/>
      </rPr>
      <t>125%/145%</t>
    </r>
    <r>
      <rPr>
        <sz val="10"/>
        <color rgb="FF000000"/>
        <rFont val="Arial"/>
        <family val="2"/>
        <scheme val="minor"/>
      </rPr>
      <t xml:space="preserve"> of your character’s </t>
    </r>
    <r>
      <rPr>
        <b/>
        <sz val="10"/>
        <color rgb="FF000000"/>
        <rFont val="Arial"/>
        <family val="2"/>
        <scheme val="minor"/>
      </rPr>
      <t>ATK/DEF/SPD</t>
    </r>
    <r>
      <rPr>
        <sz val="10"/>
        <color rgb="FF000000"/>
        <rFont val="Arial"/>
        <family val="2"/>
        <scheme val="minor"/>
      </rPr>
      <t xml:space="preserve"> to all enemies.</t>
    </r>
  </si>
  <si>
    <r>
      <t xml:space="preserve">This skill blinds all enemies, reducing their attack </t>
    </r>
    <r>
      <rPr>
        <b/>
        <sz val="10"/>
        <color rgb="FF000000"/>
        <rFont val="Arial"/>
        <family val="2"/>
        <scheme val="minor"/>
      </rPr>
      <t>accuracy</t>
    </r>
    <r>
      <rPr>
        <sz val="10"/>
        <color rgb="FF000000"/>
        <rFont val="Arial"/>
        <family val="2"/>
        <scheme val="minor"/>
      </rPr>
      <t xml:space="preserve"> by </t>
    </r>
    <r>
      <rPr>
        <b/>
        <sz val="10"/>
        <color rgb="FF000000"/>
        <rFont val="Arial"/>
        <family val="2"/>
        <scheme val="minor"/>
      </rPr>
      <t>20%/40%</t>
    </r>
    <r>
      <rPr>
        <sz val="10"/>
        <color rgb="FF000000"/>
        <rFont val="Arial"/>
        <family val="2"/>
        <scheme val="minor"/>
      </rPr>
      <t xml:space="preserve"> for </t>
    </r>
    <r>
      <rPr>
        <b/>
        <sz val="10"/>
        <color rgb="FF000000"/>
        <rFont val="Arial"/>
        <family val="2"/>
        <scheme val="minor"/>
      </rPr>
      <t>2 turns</t>
    </r>
    <r>
      <rPr>
        <sz val="10"/>
        <color rgb="FF000000"/>
        <rFont val="Arial"/>
        <family val="2"/>
        <scheme val="minor"/>
      </rPr>
      <t>.</t>
    </r>
  </si>
  <si>
    <r>
      <t xml:space="preserve">This skill boosts your character’s </t>
    </r>
    <r>
      <rPr>
        <b/>
        <sz val="10"/>
        <color rgb="FF000000"/>
        <rFont val="Arial"/>
        <family val="2"/>
        <scheme val="minor"/>
      </rPr>
      <t>ATK/DEF</t>
    </r>
    <r>
      <rPr>
        <sz val="10"/>
        <color rgb="FF000000"/>
        <rFont val="Arial"/>
        <family val="2"/>
        <scheme val="minor"/>
      </rPr>
      <t xml:space="preserve"> by </t>
    </r>
    <r>
      <rPr>
        <b/>
        <sz val="10"/>
        <color rgb="FF000000"/>
        <rFont val="Arial"/>
        <family val="2"/>
        <scheme val="minor"/>
      </rPr>
      <t>10%/30%</t>
    </r>
    <r>
      <rPr>
        <sz val="10"/>
        <color rgb="FF000000"/>
        <rFont val="Arial"/>
        <family val="2"/>
        <scheme val="minor"/>
      </rPr>
      <t xml:space="preserve"> for </t>
    </r>
    <r>
      <rPr>
        <b/>
        <sz val="10"/>
        <color rgb="FF000000"/>
        <rFont val="Arial"/>
        <family val="2"/>
        <scheme val="minor"/>
      </rPr>
      <t>3 turns</t>
    </r>
    <r>
      <rPr>
        <sz val="10"/>
        <color rgb="FF000000"/>
        <rFont val="Arial"/>
        <family val="2"/>
        <scheme val="minor"/>
      </rPr>
      <t>.</t>
    </r>
  </si>
  <si>
    <r>
      <t xml:space="preserve">At the </t>
    </r>
    <r>
      <rPr>
        <b/>
        <sz val="10"/>
        <color rgb="FF000000"/>
        <rFont val="Arial"/>
        <family val="2"/>
        <scheme val="major"/>
      </rPr>
      <t>start</t>
    </r>
    <r>
      <rPr>
        <sz val="10"/>
        <color rgb="FF000000"/>
        <rFont val="Arial"/>
        <family val="2"/>
        <scheme val="major"/>
      </rPr>
      <t xml:space="preserve"> of each battle, your team’s </t>
    </r>
    <r>
      <rPr>
        <b/>
        <sz val="10"/>
        <color rgb="FF000000"/>
        <rFont val="Arial"/>
        <family val="2"/>
        <scheme val="major"/>
      </rPr>
      <t>ATK</t>
    </r>
    <r>
      <rPr>
        <sz val="10"/>
        <color rgb="FF000000"/>
        <rFont val="Arial"/>
        <family val="2"/>
        <scheme val="major"/>
      </rPr>
      <t xml:space="preserve"> increases by </t>
    </r>
    <r>
      <rPr>
        <b/>
        <sz val="10"/>
        <color rgb="FF000000"/>
        <rFont val="Arial"/>
        <family val="2"/>
        <scheme val="major"/>
      </rPr>
      <t>20%/40%</t>
    </r>
    <r>
      <rPr>
        <sz val="10"/>
        <color rgb="FF000000"/>
        <rFont val="Arial"/>
        <family val="2"/>
        <scheme val="major"/>
      </rPr>
      <t>.</t>
    </r>
  </si>
  <si>
    <r>
      <t xml:space="preserve">When your character’s </t>
    </r>
    <r>
      <rPr>
        <b/>
        <sz val="10"/>
        <color rgb="FF000000"/>
        <rFont val="Arial"/>
        <family val="2"/>
        <scheme val="minor"/>
      </rPr>
      <t>health</t>
    </r>
    <r>
      <rPr>
        <sz val="10"/>
        <color rgb="FF000000"/>
        <rFont val="Arial"/>
        <family val="2"/>
        <scheme val="minor"/>
      </rPr>
      <t xml:space="preserve"> drops </t>
    </r>
    <r>
      <rPr>
        <b/>
        <sz val="10"/>
        <color rgb="FF000000"/>
        <rFont val="Arial"/>
        <family val="2"/>
        <scheme val="minor"/>
      </rPr>
      <t>below 50%</t>
    </r>
    <r>
      <rPr>
        <sz val="10"/>
        <color rgb="FF000000"/>
        <rFont val="Arial"/>
        <family val="2"/>
        <scheme val="minor"/>
      </rPr>
      <t>, your character's</t>
    </r>
    <r>
      <rPr>
        <b/>
        <sz val="10"/>
        <color rgb="FF000000"/>
        <rFont val="Arial"/>
        <family val="2"/>
        <scheme val="minor"/>
      </rPr>
      <t xml:space="preserve"> ATK </t>
    </r>
    <r>
      <rPr>
        <sz val="10"/>
        <color rgb="FF000000"/>
        <rFont val="Arial"/>
        <family val="2"/>
        <scheme val="minor"/>
      </rPr>
      <t xml:space="preserve">increases by </t>
    </r>
    <r>
      <rPr>
        <b/>
        <sz val="10"/>
        <color rgb="FF000000"/>
        <rFont val="Arial"/>
        <family val="2"/>
        <scheme val="minor"/>
      </rPr>
      <t>30%/50%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speed</t>
    </r>
    <r>
      <rPr>
        <sz val="10"/>
        <color rgb="FF000000"/>
        <rFont val="Arial"/>
        <family val="2"/>
        <scheme val="minor"/>
      </rPr>
      <t xml:space="preserve"> increases by</t>
    </r>
    <r>
      <rPr>
        <b/>
        <sz val="10"/>
        <color rgb="FF000000"/>
        <rFont val="Arial"/>
        <family val="2"/>
        <scheme val="minor"/>
      </rPr>
      <t xml:space="preserve"> 50%/70% </t>
    </r>
    <r>
      <rPr>
        <sz val="10"/>
        <color rgb="FF000000"/>
        <rFont val="Arial"/>
        <family val="2"/>
        <scheme val="minor"/>
      </rPr>
      <t xml:space="preserve">for </t>
    </r>
    <r>
      <rPr>
        <b/>
        <sz val="10"/>
        <color rgb="FF000000"/>
        <rFont val="Arial"/>
        <family val="2"/>
        <scheme val="minor"/>
      </rPr>
      <t>3 turns</t>
    </r>
    <r>
      <rPr>
        <sz val="10"/>
        <color rgb="FF000000"/>
        <rFont val="Arial"/>
        <family val="2"/>
        <scheme val="minor"/>
      </rPr>
      <t>.</t>
    </r>
  </si>
  <si>
    <t>It's fine now. Why? Because I am here!</t>
  </si>
  <si>
    <t>What's the point in worrying about your fate? Choose it yourself.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</si>
</sst>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Calibri"/>
    </font>
    <font>
      <sz val="10"/>
      <color theme="1"/>
      <name val="Arial"/>
    </font>
    <font>
      <sz val="12"/>
      <color rgb="FF111111"/>
      <name val="Arial"/>
      <scheme val="minor"/>
    </font>
    <font>
      <b/>
      <sz val="10"/>
      <color theme="1"/>
      <name val="Arial"/>
    </font>
    <font>
      <b/>
      <sz val="11"/>
      <color theme="1"/>
      <name val="Arial"/>
      <scheme val="minor"/>
    </font>
    <font>
      <b/>
      <sz val="12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1"/>
      <color theme="1"/>
      <name val="Arial"/>
      <family val="2"/>
      <scheme val="major"/>
    </font>
    <font>
      <b/>
      <sz val="10"/>
      <color theme="1"/>
      <name val="Arial"/>
      <family val="2"/>
      <scheme val="major"/>
    </font>
    <font>
      <b/>
      <sz val="10"/>
      <color rgb="FF000000"/>
      <name val="Arial"/>
      <family val="2"/>
      <scheme val="major"/>
    </font>
    <font>
      <i/>
      <sz val="10"/>
      <color rgb="FF000000"/>
      <name val="Arial"/>
      <family val="2"/>
      <scheme val="maj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i/>
      <sz val="10"/>
      <color rgb="FFFF0000"/>
      <name val="Arial"/>
      <family val="2"/>
      <scheme val="major"/>
    </font>
    <font>
      <sz val="11"/>
      <color rgb="FF9C0006"/>
      <name val="Arial"/>
      <family val="2"/>
      <scheme val="minor"/>
    </font>
    <font>
      <sz val="8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ADADA"/>
        <bgColor rgb="FFDADADA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5" fillId="8" borderId="0" applyNumberFormat="0" applyBorder="0" applyAlignment="0" applyProtection="0"/>
  </cellStyleXfs>
  <cellXfs count="162">
    <xf numFmtId="0" fontId="0" fillId="0" borderId="0" xfId="0"/>
    <xf numFmtId="0" fontId="1" fillId="0" borderId="0" xfId="0" applyFont="1" applyAlignment="1">
      <alignment horizontal="center"/>
    </xf>
    <xf numFmtId="0" fontId="3" fillId="0" borderId="4" xfId="0" applyFont="1" applyBorder="1"/>
    <xf numFmtId="0" fontId="3" fillId="0" borderId="6" xfId="0" applyFont="1" applyBorder="1"/>
    <xf numFmtId="0" fontId="3" fillId="0" borderId="5" xfId="0" applyFont="1" applyBorder="1"/>
    <xf numFmtId="0" fontId="5" fillId="0" borderId="0" xfId="0" applyFont="1"/>
    <xf numFmtId="0" fontId="3" fillId="0" borderId="7" xfId="0" applyFont="1" applyBorder="1"/>
    <xf numFmtId="0" fontId="3" fillId="0" borderId="8" xfId="0" applyFont="1" applyBorder="1"/>
    <xf numFmtId="0" fontId="3" fillId="0" borderId="0" xfId="0" applyFont="1"/>
    <xf numFmtId="0" fontId="3" fillId="4" borderId="7" xfId="0" applyFont="1" applyFill="1" applyBorder="1"/>
    <xf numFmtId="0" fontId="3" fillId="4" borderId="0" xfId="0" applyFont="1" applyFill="1"/>
    <xf numFmtId="0" fontId="3" fillId="4" borderId="8" xfId="0" applyFont="1" applyFill="1" applyBorder="1"/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7" fillId="0" borderId="0" xfId="0" applyFont="1"/>
    <xf numFmtId="0" fontId="7" fillId="0" borderId="12" xfId="0" applyFont="1" applyBorder="1"/>
    <xf numFmtId="2" fontId="7" fillId="0" borderId="10" xfId="0" applyNumberFormat="1" applyFont="1" applyBorder="1" applyAlignment="1">
      <alignment horizontal="right"/>
    </xf>
    <xf numFmtId="0" fontId="8" fillId="0" borderId="0" xfId="0" applyFont="1"/>
    <xf numFmtId="0" fontId="9" fillId="0" borderId="12" xfId="0" applyFont="1" applyBorder="1"/>
    <xf numFmtId="0" fontId="7" fillId="0" borderId="10" xfId="0" applyFont="1" applyBorder="1" applyAlignment="1">
      <alignment horizontal="right"/>
    </xf>
    <xf numFmtId="9" fontId="3" fillId="0" borderId="0" xfId="0" applyNumberFormat="1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15" fillId="5" borderId="13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3" fillId="0" borderId="13" xfId="0" applyFont="1" applyBorder="1"/>
    <xf numFmtId="0" fontId="13" fillId="0" borderId="18" xfId="0" applyFont="1" applyBorder="1" applyAlignment="1">
      <alignment horizontal="center" vertical="center"/>
    </xf>
    <xf numFmtId="9" fontId="13" fillId="0" borderId="13" xfId="0" applyNumberFormat="1" applyFont="1" applyBorder="1" applyAlignment="1">
      <alignment horizontal="center" vertical="center"/>
    </xf>
    <xf numFmtId="0" fontId="16" fillId="0" borderId="0" xfId="0" applyFont="1"/>
    <xf numFmtId="0" fontId="13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2" fillId="0" borderId="0" xfId="0" applyFont="1"/>
    <xf numFmtId="0" fontId="17" fillId="0" borderId="0" xfId="0" applyFont="1"/>
    <xf numFmtId="0" fontId="13" fillId="0" borderId="13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7" borderId="13" xfId="0" applyFont="1" applyFill="1" applyBorder="1" applyAlignment="1">
      <alignment horizontal="center" vertical="center"/>
    </xf>
    <xf numFmtId="0" fontId="13" fillId="0" borderId="18" xfId="0" applyFont="1" applyBorder="1"/>
    <xf numFmtId="9" fontId="13" fillId="0" borderId="18" xfId="0" applyNumberFormat="1" applyFont="1" applyBorder="1" applyAlignment="1">
      <alignment horizontal="center" vertical="center"/>
    </xf>
    <xf numFmtId="0" fontId="13" fillId="0" borderId="17" xfId="0" applyFont="1" applyBorder="1"/>
    <xf numFmtId="9" fontId="13" fillId="0" borderId="17" xfId="0" applyNumberFormat="1" applyFont="1" applyBorder="1" applyAlignment="1">
      <alignment horizontal="center" vertical="center"/>
    </xf>
    <xf numFmtId="0" fontId="18" fillId="0" borderId="13" xfId="0" applyFont="1" applyBorder="1"/>
    <xf numFmtId="0" fontId="0" fillId="0" borderId="13" xfId="0" applyBorder="1"/>
    <xf numFmtId="0" fontId="21" fillId="0" borderId="13" xfId="0" applyFont="1" applyBorder="1"/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8" fillId="0" borderId="13" xfId="0" applyFont="1" applyBorder="1" applyAlignment="1">
      <alignment horizontal="left" vertical="top"/>
    </xf>
    <xf numFmtId="0" fontId="18" fillId="0" borderId="13" xfId="0" applyFont="1" applyBorder="1" applyAlignment="1">
      <alignment horizontal="left" vertical="center"/>
    </xf>
    <xf numFmtId="0" fontId="18" fillId="0" borderId="13" xfId="0" applyFont="1" applyBorder="1" applyAlignment="1">
      <alignment vertical="top" wrapText="1"/>
    </xf>
    <xf numFmtId="0" fontId="18" fillId="0" borderId="13" xfId="0" applyFont="1" applyBorder="1" applyAlignment="1">
      <alignment horizontal="left"/>
    </xf>
    <xf numFmtId="0" fontId="18" fillId="0" borderId="25" xfId="0" applyFont="1" applyBorder="1" applyAlignment="1">
      <alignment horizontal="left" vertical="center"/>
    </xf>
    <xf numFmtId="0" fontId="22" fillId="0" borderId="0" xfId="0" applyFont="1"/>
    <xf numFmtId="49" fontId="21" fillId="7" borderId="13" xfId="0" applyNumberFormat="1" applyFont="1" applyFill="1" applyBorder="1" applyAlignment="1">
      <alignment horizontal="center"/>
    </xf>
    <xf numFmtId="0" fontId="21" fillId="7" borderId="13" xfId="0" applyFont="1" applyFill="1" applyBorder="1" applyAlignment="1">
      <alignment horizontal="center"/>
    </xf>
    <xf numFmtId="0" fontId="16" fillId="7" borderId="13" xfId="0" applyFont="1" applyFill="1" applyBorder="1" applyAlignment="1">
      <alignment horizontal="center" vertical="center"/>
    </xf>
    <xf numFmtId="0" fontId="18" fillId="0" borderId="0" xfId="0" applyFont="1" applyAlignment="1">
      <alignment horizontal="left" indent="1"/>
    </xf>
    <xf numFmtId="0" fontId="24" fillId="0" borderId="0" xfId="0" applyFont="1"/>
    <xf numFmtId="9" fontId="18" fillId="0" borderId="13" xfId="0" applyNumberFormat="1" applyFont="1" applyBorder="1" applyAlignment="1">
      <alignment horizontal="left"/>
    </xf>
    <xf numFmtId="0" fontId="21" fillId="0" borderId="13" xfId="0" applyFont="1" applyBorder="1" applyAlignment="1">
      <alignment horizontal="left" vertical="center"/>
    </xf>
    <xf numFmtId="0" fontId="21" fillId="0" borderId="13" xfId="0" applyFont="1" applyBorder="1" applyAlignment="1">
      <alignment horizontal="left"/>
    </xf>
    <xf numFmtId="0" fontId="25" fillId="8" borderId="13" xfId="1" applyBorder="1" applyAlignment="1">
      <alignment horizontal="left"/>
    </xf>
    <xf numFmtId="0" fontId="18" fillId="0" borderId="18" xfId="0" applyFont="1" applyBorder="1" applyAlignment="1">
      <alignment horizontal="center" vertical="center"/>
    </xf>
    <xf numFmtId="0" fontId="16" fillId="9" borderId="13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left" vertical="center"/>
    </xf>
    <xf numFmtId="0" fontId="13" fillId="9" borderId="13" xfId="0" applyFont="1" applyFill="1" applyBorder="1" applyAlignment="1">
      <alignment horizontal="left" vertical="top"/>
    </xf>
    <xf numFmtId="0" fontId="18" fillId="0" borderId="13" xfId="0" applyFont="1" applyBorder="1" applyAlignment="1">
      <alignment horizontal="center"/>
    </xf>
    <xf numFmtId="0" fontId="4" fillId="3" borderId="1" xfId="0" applyFont="1" applyFill="1" applyBorder="1" applyAlignment="1">
      <alignment vertical="top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3" borderId="7" xfId="0" applyFont="1" applyFill="1" applyBorder="1"/>
    <xf numFmtId="0" fontId="0" fillId="0" borderId="0" xfId="0"/>
    <xf numFmtId="0" fontId="2" fillId="0" borderId="8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4" fillId="3" borderId="4" xfId="0" applyFont="1" applyFill="1" applyBorder="1" applyAlignment="1">
      <alignment vertical="top" wrapText="1"/>
    </xf>
    <xf numFmtId="0" fontId="2" fillId="0" borderId="6" xfId="0" applyFont="1" applyBorder="1"/>
    <xf numFmtId="0" fontId="2" fillId="0" borderId="11" xfId="0" applyFont="1" applyBorder="1"/>
    <xf numFmtId="0" fontId="16" fillId="6" borderId="18" xfId="0" applyFont="1" applyFill="1" applyBorder="1" applyAlignment="1">
      <alignment horizontal="center" vertical="center"/>
    </xf>
    <xf numFmtId="0" fontId="16" fillId="6" borderId="25" xfId="0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/>
    </xf>
    <xf numFmtId="0" fontId="13" fillId="0" borderId="18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6" fillId="7" borderId="14" xfId="0" applyFont="1" applyFill="1" applyBorder="1" applyAlignment="1">
      <alignment horizontal="center" vertical="center"/>
    </xf>
    <xf numFmtId="0" fontId="16" fillId="7" borderId="16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 wrapText="1"/>
    </xf>
    <xf numFmtId="0" fontId="13" fillId="9" borderId="24" xfId="0" applyFont="1" applyFill="1" applyBorder="1" applyAlignment="1">
      <alignment horizontal="center" vertical="center" wrapText="1"/>
    </xf>
    <xf numFmtId="0" fontId="13" fillId="9" borderId="25" xfId="0" applyFont="1" applyFill="1" applyBorder="1" applyAlignment="1">
      <alignment horizontal="center" vertical="center" wrapText="1"/>
    </xf>
    <xf numFmtId="0" fontId="13" fillId="9" borderId="18" xfId="0" applyFont="1" applyFill="1" applyBorder="1" applyAlignment="1">
      <alignment horizontal="left" vertical="top" wrapText="1"/>
    </xf>
    <xf numFmtId="0" fontId="16" fillId="9" borderId="24" xfId="0" applyFont="1" applyFill="1" applyBorder="1" applyAlignment="1">
      <alignment horizontal="left" vertical="top" wrapText="1"/>
    </xf>
    <xf numFmtId="0" fontId="16" fillId="9" borderId="25" xfId="0" applyFont="1" applyFill="1" applyBorder="1" applyAlignment="1">
      <alignment horizontal="left" vertical="top" wrapText="1"/>
    </xf>
    <xf numFmtId="0" fontId="18" fillId="0" borderId="18" xfId="0" applyFont="1" applyBorder="1" applyAlignment="1">
      <alignment horizontal="left" vertical="top" wrapText="1"/>
    </xf>
    <xf numFmtId="0" fontId="18" fillId="0" borderId="24" xfId="0" applyFont="1" applyBorder="1" applyAlignment="1">
      <alignment horizontal="left" vertical="top" wrapText="1"/>
    </xf>
    <xf numFmtId="0" fontId="18" fillId="0" borderId="25" xfId="0" applyFont="1" applyBorder="1" applyAlignment="1">
      <alignment horizontal="left" vertical="top" wrapText="1"/>
    </xf>
    <xf numFmtId="0" fontId="13" fillId="9" borderId="18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top" wrapText="1"/>
    </xf>
    <xf numFmtId="0" fontId="18" fillId="0" borderId="13" xfId="0" applyFont="1" applyBorder="1" applyAlignment="1">
      <alignment horizontal="center" vertical="center"/>
    </xf>
    <xf numFmtId="0" fontId="25" fillId="8" borderId="18" xfId="1" applyBorder="1" applyAlignment="1">
      <alignment horizontal="center" vertical="center"/>
    </xf>
    <xf numFmtId="0" fontId="25" fillId="8" borderId="24" xfId="1" applyBorder="1" applyAlignment="1">
      <alignment horizontal="center" vertical="center"/>
    </xf>
    <xf numFmtId="0" fontId="25" fillId="8" borderId="25" xfId="1" applyBorder="1" applyAlignment="1">
      <alignment horizontal="center" vertical="center"/>
    </xf>
    <xf numFmtId="0" fontId="25" fillId="8" borderId="18" xfId="1" applyBorder="1" applyAlignment="1">
      <alignment horizontal="left" vertical="top" wrapText="1"/>
    </xf>
    <xf numFmtId="0" fontId="25" fillId="8" borderId="24" xfId="1" applyBorder="1" applyAlignment="1">
      <alignment horizontal="left" vertical="top" wrapText="1"/>
    </xf>
    <xf numFmtId="0" fontId="25" fillId="8" borderId="25" xfId="1" applyBorder="1" applyAlignment="1">
      <alignment horizontal="left" vertical="top" wrapText="1"/>
    </xf>
    <xf numFmtId="0" fontId="25" fillId="8" borderId="18" xfId="1" applyBorder="1" applyAlignment="1">
      <alignment horizontal="center" vertical="center" wrapText="1"/>
    </xf>
    <xf numFmtId="0" fontId="25" fillId="8" borderId="24" xfId="1" applyBorder="1" applyAlignment="1">
      <alignment horizontal="center" vertical="center" wrapText="1"/>
    </xf>
    <xf numFmtId="0" fontId="25" fillId="8" borderId="25" xfId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18" fillId="9" borderId="13" xfId="0" applyFont="1" applyFill="1" applyBorder="1" applyAlignment="1">
      <alignment horizontal="center" vertical="center" wrapText="1"/>
    </xf>
    <xf numFmtId="0" fontId="18" fillId="9" borderId="18" xfId="0" applyFont="1" applyFill="1" applyBorder="1" applyAlignment="1">
      <alignment horizontal="center" vertical="center" wrapText="1"/>
    </xf>
    <xf numFmtId="0" fontId="18" fillId="9" borderId="24" xfId="0" applyFont="1" applyFill="1" applyBorder="1" applyAlignment="1">
      <alignment horizontal="center" vertical="center" wrapText="1"/>
    </xf>
    <xf numFmtId="0" fontId="18" fillId="9" borderId="25" xfId="0" applyFont="1" applyFill="1" applyBorder="1" applyAlignment="1">
      <alignment horizontal="center" vertical="center" wrapText="1"/>
    </xf>
    <xf numFmtId="0" fontId="18" fillId="9" borderId="18" xfId="0" applyFont="1" applyFill="1" applyBorder="1" applyAlignment="1">
      <alignment horizontal="left" vertical="top" wrapText="1"/>
    </xf>
    <xf numFmtId="0" fontId="18" fillId="9" borderId="24" xfId="0" applyFont="1" applyFill="1" applyBorder="1" applyAlignment="1">
      <alignment horizontal="left" vertical="top" wrapText="1"/>
    </xf>
    <xf numFmtId="0" fontId="18" fillId="9" borderId="25" xfId="0" applyFont="1" applyFill="1" applyBorder="1" applyAlignment="1">
      <alignment horizontal="left" vertical="top" wrapText="1"/>
    </xf>
    <xf numFmtId="0" fontId="21" fillId="0" borderId="24" xfId="0" applyFont="1" applyBorder="1" applyAlignment="1">
      <alignment horizontal="left" vertical="top" wrapText="1"/>
    </xf>
    <xf numFmtId="0" fontId="21" fillId="0" borderId="25" xfId="0" applyFont="1" applyBorder="1" applyAlignment="1">
      <alignment horizontal="left" vertical="top" wrapText="1"/>
    </xf>
    <xf numFmtId="0" fontId="16" fillId="6" borderId="15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21" fillId="7" borderId="25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left" vertical="top" wrapText="1"/>
    </xf>
    <xf numFmtId="0" fontId="3" fillId="0" borderId="7" xfId="0" applyFont="1" applyBorder="1"/>
    <xf numFmtId="0" fontId="3" fillId="0" borderId="9" xfId="0" applyFont="1" applyBorder="1"/>
    <xf numFmtId="0" fontId="10" fillId="2" borderId="4" xfId="0" applyFont="1" applyFill="1" applyBorder="1" applyAlignment="1">
      <alignment horizontal="center"/>
    </xf>
    <xf numFmtId="0" fontId="3" fillId="0" borderId="4" xfId="0" applyFont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284164</xdr:colOff>
      <xdr:row>14</xdr:row>
      <xdr:rowOff>137380</xdr:rowOff>
    </xdr:from>
    <xdr:to>
      <xdr:col>12</xdr:col>
      <xdr:colOff>479448</xdr:colOff>
      <xdr:row>22</xdr:row>
      <xdr:rowOff>99111</xdr:rowOff>
    </xdr:to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B6DD0765-0CD4-4CE2-B037-20CB6CFC9AD8}"/>
            </a:ext>
          </a:extLst>
        </xdr:cNvPr>
        <xdr:cNvGrpSpPr/>
      </xdr:nvGrpSpPr>
      <xdr:grpSpPr>
        <a:xfrm>
          <a:off x="6728034" y="2473076"/>
          <a:ext cx="2738044" cy="1320078"/>
          <a:chOff x="3716853" y="3541873"/>
          <a:chExt cx="2634035" cy="1110981"/>
        </a:xfrm>
      </xdr:grpSpPr>
      <xdr:grpSp>
        <xdr:nvGrpSpPr>
          <xdr:cNvPr id="3" name="Shape 20">
            <a:extLst>
              <a:ext uri="{FF2B5EF4-FFF2-40B4-BE49-F238E27FC236}">
                <a16:creationId xmlns:a16="http://schemas.microsoft.com/office/drawing/2014/main" id="{B266B9BC-3D97-040B-6C90-AA8F27B7BD67}"/>
              </a:ext>
            </a:extLst>
          </xdr:cNvPr>
          <xdr:cNvGrpSpPr/>
        </xdr:nvGrpSpPr>
        <xdr:grpSpPr>
          <a:xfrm>
            <a:off x="3716853" y="3541873"/>
            <a:ext cx="2634035" cy="1110981"/>
            <a:chOff x="14612926" y="6611541"/>
            <a:chExt cx="2746387" cy="1066542"/>
          </a:xfrm>
        </xdr:grpSpPr>
        <xdr:sp macro="" textlink="">
          <xdr:nvSpPr>
            <xdr:cNvPr id="4" name="Shape 21">
              <a:extLst>
                <a:ext uri="{FF2B5EF4-FFF2-40B4-BE49-F238E27FC236}">
                  <a16:creationId xmlns:a16="http://schemas.microsoft.com/office/drawing/2014/main" id="{F79042EF-4D9A-F9C3-0FFB-730493E3E52F}"/>
                </a:ext>
              </a:extLst>
            </xdr:cNvPr>
            <xdr:cNvSpPr/>
          </xdr:nvSpPr>
          <xdr:spPr>
            <a:xfrm>
              <a:off x="15263813" y="6611541"/>
              <a:ext cx="20955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22">
              <a:extLst>
                <a:ext uri="{FF2B5EF4-FFF2-40B4-BE49-F238E27FC236}">
                  <a16:creationId xmlns:a16="http://schemas.microsoft.com/office/drawing/2014/main" id="{BEBB0DE2-9E6A-312D-70C9-54605AEF4117}"/>
                </a:ext>
              </a:extLst>
            </xdr:cNvPr>
            <xdr:cNvSpPr txBox="1"/>
          </xdr:nvSpPr>
          <xdr:spPr>
            <a:xfrm>
              <a:off x="14612926" y="7220883"/>
              <a:ext cx="2095500" cy="457200"/>
            </a:xfrm>
            <a:prstGeom prst="rect">
              <a:avLst/>
            </a:prstGeom>
            <a:solidFill>
              <a:schemeClr val="lt2"/>
            </a:solidFill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Shade (Dark)</a:t>
              </a:r>
              <a:endParaRPr sz="1400"/>
            </a:p>
          </xdr:txBody>
        </xdr:sp>
        <xdr:pic>
          <xdr:nvPicPr>
            <xdr:cNvPr id="6" name="Shape 23">
              <a:extLst>
                <a:ext uri="{FF2B5EF4-FFF2-40B4-BE49-F238E27FC236}">
                  <a16:creationId xmlns:a16="http://schemas.microsoft.com/office/drawing/2014/main" id="{C9A53D68-E9A1-49CB-E15E-31411BF99567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14796977" y="7288750"/>
              <a:ext cx="327424" cy="32742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/>
  </xdr:twoCellAnchor>
  <xdr:twoCellAnchor>
    <xdr:from>
      <xdr:col>8</xdr:col>
      <xdr:colOff>293661</xdr:colOff>
      <xdr:row>21</xdr:row>
      <xdr:rowOff>114147</xdr:rowOff>
    </xdr:from>
    <xdr:to>
      <xdr:col>12</xdr:col>
      <xdr:colOff>488946</xdr:colOff>
      <xdr:row>28</xdr:row>
      <xdr:rowOff>85228</xdr:rowOff>
    </xdr:to>
    <xdr:grpSp>
      <xdr:nvGrpSpPr>
        <xdr:cNvPr id="7" name="Shape 2" title="Drawing">
          <a:extLst>
            <a:ext uri="{FF2B5EF4-FFF2-40B4-BE49-F238E27FC236}">
              <a16:creationId xmlns:a16="http://schemas.microsoft.com/office/drawing/2014/main" id="{D1A79C29-FE1C-495A-A77A-32A613E5EF41}"/>
            </a:ext>
          </a:extLst>
        </xdr:cNvPr>
        <xdr:cNvGrpSpPr/>
      </xdr:nvGrpSpPr>
      <xdr:grpSpPr>
        <a:xfrm>
          <a:off x="6737531" y="3642538"/>
          <a:ext cx="2738045" cy="1155494"/>
          <a:chOff x="3716848" y="3537111"/>
          <a:chExt cx="2634036" cy="1120509"/>
        </a:xfrm>
      </xdr:grpSpPr>
      <xdr:grpSp>
        <xdr:nvGrpSpPr>
          <xdr:cNvPr id="8" name="Shape 24">
            <a:extLst>
              <a:ext uri="{FF2B5EF4-FFF2-40B4-BE49-F238E27FC236}">
                <a16:creationId xmlns:a16="http://schemas.microsoft.com/office/drawing/2014/main" id="{A7365D84-73B7-E6EC-D0D6-8865E4BCA97A}"/>
              </a:ext>
            </a:extLst>
          </xdr:cNvPr>
          <xdr:cNvGrpSpPr/>
        </xdr:nvGrpSpPr>
        <xdr:grpSpPr>
          <a:xfrm>
            <a:off x="3716848" y="3537111"/>
            <a:ext cx="2634036" cy="1120509"/>
            <a:chOff x="14616495" y="7198518"/>
            <a:chExt cx="2746389" cy="1054597"/>
          </a:xfrm>
        </xdr:grpSpPr>
        <xdr:sp macro="" textlink="">
          <xdr:nvSpPr>
            <xdr:cNvPr id="9" name="Shape 21">
              <a:extLst>
                <a:ext uri="{FF2B5EF4-FFF2-40B4-BE49-F238E27FC236}">
                  <a16:creationId xmlns:a16="http://schemas.microsoft.com/office/drawing/2014/main" id="{71B49BDE-2F4C-DBF7-0C75-3C274F225F6D}"/>
                </a:ext>
              </a:extLst>
            </xdr:cNvPr>
            <xdr:cNvSpPr/>
          </xdr:nvSpPr>
          <xdr:spPr>
            <a:xfrm>
              <a:off x="15267384" y="7198518"/>
              <a:ext cx="20955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" name="Shape 25">
              <a:extLst>
                <a:ext uri="{FF2B5EF4-FFF2-40B4-BE49-F238E27FC236}">
                  <a16:creationId xmlns:a16="http://schemas.microsoft.com/office/drawing/2014/main" id="{2F3036CE-A589-5B4E-6778-480E74993BCD}"/>
                </a:ext>
              </a:extLst>
            </xdr:cNvPr>
            <xdr:cNvSpPr txBox="1"/>
          </xdr:nvSpPr>
          <xdr:spPr>
            <a:xfrm>
              <a:off x="14616495" y="7795915"/>
              <a:ext cx="2095500" cy="457200"/>
            </a:xfrm>
            <a:prstGeom prst="rect">
              <a:avLst/>
            </a:prstGeom>
            <a:solidFill>
              <a:schemeClr val="lt2"/>
            </a:solidFill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Lumen (Light)</a:t>
              </a:r>
              <a:endParaRPr sz="1400"/>
            </a:p>
          </xdr:txBody>
        </xdr:sp>
        <xdr:pic>
          <xdr:nvPicPr>
            <xdr:cNvPr id="11" name="Shape 26">
              <a:extLst>
                <a:ext uri="{FF2B5EF4-FFF2-40B4-BE49-F238E27FC236}">
                  <a16:creationId xmlns:a16="http://schemas.microsoft.com/office/drawing/2014/main" id="{50E43DA9-41AE-C666-9626-A59AD7E0A5C9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14778233" y="7844695"/>
              <a:ext cx="360798" cy="36079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/>
  </xdr:twoCellAnchor>
  <xdr:twoCellAnchor>
    <xdr:from>
      <xdr:col>7</xdr:col>
      <xdr:colOff>844503</xdr:colOff>
      <xdr:row>0</xdr:row>
      <xdr:rowOff>88308</xdr:rowOff>
    </xdr:from>
    <xdr:to>
      <xdr:col>16</xdr:col>
      <xdr:colOff>203143</xdr:colOff>
      <xdr:row>17</xdr:row>
      <xdr:rowOff>42713</xdr:rowOff>
    </xdr:to>
    <xdr:grpSp>
      <xdr:nvGrpSpPr>
        <xdr:cNvPr id="12" name="Shape 2" title="Drawing">
          <a:extLst>
            <a:ext uri="{FF2B5EF4-FFF2-40B4-BE49-F238E27FC236}">
              <a16:creationId xmlns:a16="http://schemas.microsoft.com/office/drawing/2014/main" id="{F1D298FB-72B4-4CB7-88BE-CA2B1624DDD8}"/>
            </a:ext>
          </a:extLst>
        </xdr:cNvPr>
        <xdr:cNvGrpSpPr/>
      </xdr:nvGrpSpPr>
      <xdr:grpSpPr>
        <a:xfrm>
          <a:off x="5515894" y="88308"/>
          <a:ext cx="6506532" cy="2787057"/>
          <a:chOff x="754713" y="3541877"/>
          <a:chExt cx="5577121" cy="2641623"/>
        </a:xfrm>
      </xdr:grpSpPr>
      <xdr:grpSp>
        <xdr:nvGrpSpPr>
          <xdr:cNvPr id="13" name="Shape 27">
            <a:extLst>
              <a:ext uri="{FF2B5EF4-FFF2-40B4-BE49-F238E27FC236}">
                <a16:creationId xmlns:a16="http://schemas.microsoft.com/office/drawing/2014/main" id="{95F7BC07-8904-1A67-7CE5-F6154CAA7363}"/>
              </a:ext>
            </a:extLst>
          </xdr:cNvPr>
          <xdr:cNvGrpSpPr/>
        </xdr:nvGrpSpPr>
        <xdr:grpSpPr>
          <a:xfrm>
            <a:off x="754713" y="3541877"/>
            <a:ext cx="5577121" cy="2641623"/>
            <a:chOff x="14016112" y="6954492"/>
            <a:chExt cx="5927376" cy="2535957"/>
          </a:xfrm>
        </xdr:grpSpPr>
        <xdr:sp macro="" textlink="">
          <xdr:nvSpPr>
            <xdr:cNvPr id="14" name="Shape 21">
              <a:extLst>
                <a:ext uri="{FF2B5EF4-FFF2-40B4-BE49-F238E27FC236}">
                  <a16:creationId xmlns:a16="http://schemas.microsoft.com/office/drawing/2014/main" id="{8361D915-867B-A10F-EF4A-0DD214F134D2}"/>
                </a:ext>
              </a:extLst>
            </xdr:cNvPr>
            <xdr:cNvSpPr/>
          </xdr:nvSpPr>
          <xdr:spPr>
            <a:xfrm>
              <a:off x="17847988" y="6954492"/>
              <a:ext cx="20955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5" name="Shape 28">
              <a:extLst>
                <a:ext uri="{FF2B5EF4-FFF2-40B4-BE49-F238E27FC236}">
                  <a16:creationId xmlns:a16="http://schemas.microsoft.com/office/drawing/2014/main" id="{5CAB5030-5E77-3162-F5BC-D81823525E4E}"/>
                </a:ext>
              </a:extLst>
            </xdr:cNvPr>
            <xdr:cNvSpPr txBox="1"/>
          </xdr:nvSpPr>
          <xdr:spPr>
            <a:xfrm>
              <a:off x="14016112" y="9033249"/>
              <a:ext cx="2095500" cy="457200"/>
            </a:xfrm>
            <a:prstGeom prst="rect">
              <a:avLst/>
            </a:prstGeom>
            <a:solidFill>
              <a:schemeClr val="lt1"/>
            </a:solidFill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Neutralis (Neutral)</a:t>
              </a:r>
              <a:endParaRPr sz="1400"/>
            </a:p>
          </xdr:txBody>
        </xdr:sp>
        <xdr:pic>
          <xdr:nvPicPr>
            <xdr:cNvPr id="16" name="Shape 29">
              <a:extLst>
                <a:ext uri="{FF2B5EF4-FFF2-40B4-BE49-F238E27FC236}">
                  <a16:creationId xmlns:a16="http://schemas.microsoft.com/office/drawing/2014/main" id="{B0856FAB-17CB-C931-2F33-3ACAC3540E9A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14114088" y="9100992"/>
              <a:ext cx="316156" cy="31615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/>
  </xdr:twoCellAnchor>
  <xdr:twoCellAnchor>
    <xdr:from>
      <xdr:col>9</xdr:col>
      <xdr:colOff>696057</xdr:colOff>
      <xdr:row>22</xdr:row>
      <xdr:rowOff>148481</xdr:rowOff>
    </xdr:from>
    <xdr:to>
      <xdr:col>10</xdr:col>
      <xdr:colOff>170166</xdr:colOff>
      <xdr:row>25</xdr:row>
      <xdr:rowOff>51059</xdr:rowOff>
    </xdr:to>
    <xdr:sp macro="" textlink="">
      <xdr:nvSpPr>
        <xdr:cNvPr id="17" name="Shape 30">
          <a:extLst>
            <a:ext uri="{FF2B5EF4-FFF2-40B4-BE49-F238E27FC236}">
              <a16:creationId xmlns:a16="http://schemas.microsoft.com/office/drawing/2014/main" id="{B275E76C-BFB3-4458-874F-B6CEE3DEC1A6}"/>
            </a:ext>
          </a:extLst>
        </xdr:cNvPr>
        <xdr:cNvSpPr/>
      </xdr:nvSpPr>
      <xdr:spPr>
        <a:xfrm>
          <a:off x="7573107" y="3777506"/>
          <a:ext cx="178959" cy="388353"/>
        </a:xfrm>
        <a:prstGeom prst="upDownArrow">
          <a:avLst>
            <a:gd name="adj1" fmla="val 50000"/>
            <a:gd name="adj2" fmla="val 50000"/>
          </a:avLst>
        </a:prstGeom>
        <a:solidFill>
          <a:schemeClr val="accent2"/>
        </a:solidFill>
        <a:ln w="12700" cap="flat" cmpd="sng">
          <a:solidFill>
            <a:srgbClr val="AC5B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/>
  </xdr:twoCellAnchor>
  <xdr:twoCellAnchor>
    <xdr:from>
      <xdr:col>3</xdr:col>
      <xdr:colOff>111340</xdr:colOff>
      <xdr:row>15</xdr:row>
      <xdr:rowOff>52969</xdr:rowOff>
    </xdr:from>
    <xdr:to>
      <xdr:col>15</xdr:col>
      <xdr:colOff>360889</xdr:colOff>
      <xdr:row>18</xdr:row>
      <xdr:rowOff>146578</xdr:rowOff>
    </xdr:to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6927567B-8AAB-4CCE-BB40-62648CCC569D}"/>
            </a:ext>
          </a:extLst>
        </xdr:cNvPr>
        <xdr:cNvGrpSpPr/>
      </xdr:nvGrpSpPr>
      <xdr:grpSpPr>
        <a:xfrm>
          <a:off x="2173710" y="2554317"/>
          <a:ext cx="9393549" cy="623696"/>
          <a:chOff x="-1752432" y="3429866"/>
          <a:chExt cx="8093795" cy="588255"/>
        </a:xfrm>
      </xdr:grpSpPr>
      <xdr:grpSp>
        <xdr:nvGrpSpPr>
          <xdr:cNvPr id="19" name="Shape 31">
            <a:extLst>
              <a:ext uri="{FF2B5EF4-FFF2-40B4-BE49-F238E27FC236}">
                <a16:creationId xmlns:a16="http://schemas.microsoft.com/office/drawing/2014/main" id="{227D7C65-4350-E4BC-F49B-F14B97C9BC12}"/>
              </a:ext>
            </a:extLst>
          </xdr:cNvPr>
          <xdr:cNvGrpSpPr/>
        </xdr:nvGrpSpPr>
        <xdr:grpSpPr>
          <a:xfrm>
            <a:off x="-1752432" y="3429866"/>
            <a:ext cx="8093795" cy="588255"/>
            <a:chOff x="10793189" y="8103852"/>
            <a:chExt cx="8519784" cy="564725"/>
          </a:xfrm>
        </xdr:grpSpPr>
        <xdr:sp macro="" textlink="">
          <xdr:nvSpPr>
            <xdr:cNvPr id="20" name="Shape 21">
              <a:extLst>
                <a:ext uri="{FF2B5EF4-FFF2-40B4-BE49-F238E27FC236}">
                  <a16:creationId xmlns:a16="http://schemas.microsoft.com/office/drawing/2014/main" id="{3EF6F941-7780-8CE4-1DE7-138EB7E455A2}"/>
                </a:ext>
              </a:extLst>
            </xdr:cNvPr>
            <xdr:cNvSpPr/>
          </xdr:nvSpPr>
          <xdr:spPr>
            <a:xfrm>
              <a:off x="17217473" y="8211377"/>
              <a:ext cx="20955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1" name="Shape 32">
              <a:extLst>
                <a:ext uri="{FF2B5EF4-FFF2-40B4-BE49-F238E27FC236}">
                  <a16:creationId xmlns:a16="http://schemas.microsoft.com/office/drawing/2014/main" id="{EDEE471C-A2A4-6553-2A84-B75E8DCE797E}"/>
                </a:ext>
              </a:extLst>
            </xdr:cNvPr>
            <xdr:cNvSpPr txBox="1"/>
          </xdr:nvSpPr>
          <xdr:spPr>
            <a:xfrm>
              <a:off x="10793189" y="8103852"/>
              <a:ext cx="2095500" cy="457200"/>
            </a:xfrm>
            <a:prstGeom prst="rect">
              <a:avLst/>
            </a:prstGeom>
            <a:solidFill>
              <a:schemeClr val="lt1"/>
            </a:solidFill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Pyro (Fire)</a:t>
              </a:r>
              <a:endParaRPr sz="1400"/>
            </a:p>
          </xdr:txBody>
        </xdr:sp>
        <xdr:pic>
          <xdr:nvPicPr>
            <xdr:cNvPr id="22" name="Shape 33">
              <a:extLst>
                <a:ext uri="{FF2B5EF4-FFF2-40B4-BE49-F238E27FC236}">
                  <a16:creationId xmlns:a16="http://schemas.microsoft.com/office/drawing/2014/main" id="{9FDDD35B-B348-D0DC-F560-B653BD369AE6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79811" y="8138087"/>
              <a:ext cx="405597" cy="39933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/>
  </xdr:twoCellAnchor>
  <xdr:twoCellAnchor>
    <xdr:from>
      <xdr:col>6</xdr:col>
      <xdr:colOff>6897</xdr:colOff>
      <xdr:row>20</xdr:row>
      <xdr:rowOff>116164</xdr:rowOff>
    </xdr:from>
    <xdr:to>
      <xdr:col>18</xdr:col>
      <xdr:colOff>256443</xdr:colOff>
      <xdr:row>24</xdr:row>
      <xdr:rowOff>48592</xdr:rowOff>
    </xdr:to>
    <xdr:grpSp>
      <xdr:nvGrpSpPr>
        <xdr:cNvPr id="23" name="Shape 2" title="Drawing">
          <a:extLst>
            <a:ext uri="{FF2B5EF4-FFF2-40B4-BE49-F238E27FC236}">
              <a16:creationId xmlns:a16="http://schemas.microsoft.com/office/drawing/2014/main" id="{B48E88C5-65F2-4F9F-8C52-76C9134298C3}"/>
            </a:ext>
          </a:extLst>
        </xdr:cNvPr>
        <xdr:cNvGrpSpPr/>
      </xdr:nvGrpSpPr>
      <xdr:grpSpPr>
        <a:xfrm>
          <a:off x="4065375" y="3478903"/>
          <a:ext cx="9343851" cy="595037"/>
          <a:chOff x="-1752430" y="3429866"/>
          <a:chExt cx="8093792" cy="588265"/>
        </a:xfrm>
      </xdr:grpSpPr>
      <xdr:grpSp>
        <xdr:nvGrpSpPr>
          <xdr:cNvPr id="24" name="Shape 34">
            <a:extLst>
              <a:ext uri="{FF2B5EF4-FFF2-40B4-BE49-F238E27FC236}">
                <a16:creationId xmlns:a16="http://schemas.microsoft.com/office/drawing/2014/main" id="{B08E897F-6B4C-0DC1-7A0A-EA0C6131040F}"/>
              </a:ext>
            </a:extLst>
          </xdr:cNvPr>
          <xdr:cNvGrpSpPr/>
        </xdr:nvGrpSpPr>
        <xdr:grpSpPr>
          <a:xfrm>
            <a:off x="-1752430" y="3429866"/>
            <a:ext cx="8093792" cy="588265"/>
            <a:chOff x="12709788" y="8902286"/>
            <a:chExt cx="8519781" cy="564734"/>
          </a:xfrm>
        </xdr:grpSpPr>
        <xdr:sp macro="" textlink="">
          <xdr:nvSpPr>
            <xdr:cNvPr id="25" name="Shape 21">
              <a:extLst>
                <a:ext uri="{FF2B5EF4-FFF2-40B4-BE49-F238E27FC236}">
                  <a16:creationId xmlns:a16="http://schemas.microsoft.com/office/drawing/2014/main" id="{8E350F84-9BE0-852A-4016-98CCD7E5DB4B}"/>
                </a:ext>
              </a:extLst>
            </xdr:cNvPr>
            <xdr:cNvSpPr/>
          </xdr:nvSpPr>
          <xdr:spPr>
            <a:xfrm>
              <a:off x="19134069" y="9009820"/>
              <a:ext cx="20955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6" name="Shape 35">
              <a:extLst>
                <a:ext uri="{FF2B5EF4-FFF2-40B4-BE49-F238E27FC236}">
                  <a16:creationId xmlns:a16="http://schemas.microsoft.com/office/drawing/2014/main" id="{A01915A1-D236-4D9C-3E40-5E8FDB32F4D6}"/>
                </a:ext>
              </a:extLst>
            </xdr:cNvPr>
            <xdr:cNvSpPr txBox="1"/>
          </xdr:nvSpPr>
          <xdr:spPr>
            <a:xfrm>
              <a:off x="12709788" y="8902286"/>
              <a:ext cx="2095500" cy="457199"/>
            </a:xfrm>
            <a:prstGeom prst="rect">
              <a:avLst/>
            </a:prstGeom>
            <a:solidFill>
              <a:schemeClr val="lt1"/>
            </a:solidFill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Aqua (Water)</a:t>
              </a:r>
              <a:endParaRPr sz="1400"/>
            </a:p>
          </xdr:txBody>
        </xdr:sp>
        <xdr:pic>
          <xdr:nvPicPr>
            <xdr:cNvPr id="27" name="Shape 36">
              <a:extLst>
                <a:ext uri="{FF2B5EF4-FFF2-40B4-BE49-F238E27FC236}">
                  <a16:creationId xmlns:a16="http://schemas.microsoft.com/office/drawing/2014/main" id="{7C6D7321-49CC-E85B-4E5B-8205AB6AD6E1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2869021" y="8926637"/>
              <a:ext cx="399716" cy="39971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/>
  </xdr:twoCellAnchor>
  <xdr:twoCellAnchor>
    <xdr:from>
      <xdr:col>1</xdr:col>
      <xdr:colOff>246378</xdr:colOff>
      <xdr:row>28</xdr:row>
      <xdr:rowOff>13543</xdr:rowOff>
    </xdr:from>
    <xdr:to>
      <xdr:col>17</xdr:col>
      <xdr:colOff>579493</xdr:colOff>
      <xdr:row>31</xdr:row>
      <xdr:rowOff>107147</xdr:rowOff>
    </xdr:to>
    <xdr:grpSp>
      <xdr:nvGrpSpPr>
        <xdr:cNvPr id="28" name="Shape 2" title="Drawing">
          <a:extLst>
            <a:ext uri="{FF2B5EF4-FFF2-40B4-BE49-F238E27FC236}">
              <a16:creationId xmlns:a16="http://schemas.microsoft.com/office/drawing/2014/main" id="{5D0ACF8A-BA5D-4D03-A757-3DDF8E58FF6D}"/>
            </a:ext>
          </a:extLst>
        </xdr:cNvPr>
        <xdr:cNvGrpSpPr/>
      </xdr:nvGrpSpPr>
      <xdr:grpSpPr>
        <a:xfrm>
          <a:off x="544552" y="4726347"/>
          <a:ext cx="12574811" cy="590561"/>
          <a:chOff x="-4562941" y="3429860"/>
          <a:chExt cx="10894772" cy="588248"/>
        </a:xfrm>
      </xdr:grpSpPr>
      <xdr:grpSp>
        <xdr:nvGrpSpPr>
          <xdr:cNvPr id="29" name="Shape 37">
            <a:extLst>
              <a:ext uri="{FF2B5EF4-FFF2-40B4-BE49-F238E27FC236}">
                <a16:creationId xmlns:a16="http://schemas.microsoft.com/office/drawing/2014/main" id="{50A6B780-3579-D3F1-DA21-6C91B8AD8638}"/>
              </a:ext>
            </a:extLst>
          </xdr:cNvPr>
          <xdr:cNvGrpSpPr/>
        </xdr:nvGrpSpPr>
        <xdr:grpSpPr>
          <a:xfrm>
            <a:off x="-4562941" y="3429860"/>
            <a:ext cx="10894772" cy="588248"/>
            <a:chOff x="6360729" y="9820016"/>
            <a:chExt cx="11578990" cy="564719"/>
          </a:xfrm>
        </xdr:grpSpPr>
        <xdr:sp macro="" textlink="">
          <xdr:nvSpPr>
            <xdr:cNvPr id="30" name="Shape 21">
              <a:extLst>
                <a:ext uri="{FF2B5EF4-FFF2-40B4-BE49-F238E27FC236}">
                  <a16:creationId xmlns:a16="http://schemas.microsoft.com/office/drawing/2014/main" id="{11CFB06E-08B8-5044-6D78-0E573E71512B}"/>
                </a:ext>
              </a:extLst>
            </xdr:cNvPr>
            <xdr:cNvSpPr/>
          </xdr:nvSpPr>
          <xdr:spPr>
            <a:xfrm>
              <a:off x="15844219" y="9927535"/>
              <a:ext cx="20955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8">
              <a:extLst>
                <a:ext uri="{FF2B5EF4-FFF2-40B4-BE49-F238E27FC236}">
                  <a16:creationId xmlns:a16="http://schemas.microsoft.com/office/drawing/2014/main" id="{8AD3B507-1AA6-4A19-337B-2DD187F47D90}"/>
                </a:ext>
              </a:extLst>
            </xdr:cNvPr>
            <xdr:cNvSpPr txBox="1"/>
          </xdr:nvSpPr>
          <xdr:spPr>
            <a:xfrm>
              <a:off x="6360729" y="9820016"/>
              <a:ext cx="2095500" cy="457199"/>
            </a:xfrm>
            <a:prstGeom prst="rect">
              <a:avLst/>
            </a:prstGeom>
            <a:solidFill>
              <a:schemeClr val="lt1"/>
            </a:solidFill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Terra (Earth)</a:t>
              </a:r>
              <a:endParaRPr sz="1400"/>
            </a:p>
          </xdr:txBody>
        </xdr:sp>
        <xdr:pic>
          <xdr:nvPicPr>
            <xdr:cNvPr id="32" name="Shape 39">
              <a:extLst>
                <a:ext uri="{FF2B5EF4-FFF2-40B4-BE49-F238E27FC236}">
                  <a16:creationId xmlns:a16="http://schemas.microsoft.com/office/drawing/2014/main" id="{0EE11545-6BD7-2ACF-F3E6-CD898FAAF49B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6">
              <a:alphaModFix/>
            </a:blip>
            <a:srcRect/>
            <a:stretch/>
          </xdr:blipFill>
          <xdr:spPr>
            <a:xfrm>
              <a:off x="6550587" y="9879431"/>
              <a:ext cx="350864" cy="34240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/>
  </xdr:twoCellAnchor>
  <xdr:twoCellAnchor>
    <xdr:from>
      <xdr:col>5</xdr:col>
      <xdr:colOff>605836</xdr:colOff>
      <xdr:row>28</xdr:row>
      <xdr:rowOff>22869</xdr:rowOff>
    </xdr:from>
    <xdr:to>
      <xdr:col>13</xdr:col>
      <xdr:colOff>56751</xdr:colOff>
      <xdr:row>31</xdr:row>
      <xdr:rowOff>116488</xdr:rowOff>
    </xdr:to>
    <xdr:grpSp>
      <xdr:nvGrpSpPr>
        <xdr:cNvPr id="33" name="Shape 2" title="Drawing">
          <a:extLst>
            <a:ext uri="{FF2B5EF4-FFF2-40B4-BE49-F238E27FC236}">
              <a16:creationId xmlns:a16="http://schemas.microsoft.com/office/drawing/2014/main" id="{4077F45F-00FC-437D-B991-1C2138DEC8E4}"/>
            </a:ext>
          </a:extLst>
        </xdr:cNvPr>
        <xdr:cNvGrpSpPr/>
      </xdr:nvGrpSpPr>
      <xdr:grpSpPr>
        <a:xfrm>
          <a:off x="4051401" y="4735673"/>
          <a:ext cx="5762263" cy="590576"/>
          <a:chOff x="1254989" y="3429849"/>
          <a:chExt cx="5086373" cy="588265"/>
        </a:xfrm>
      </xdr:grpSpPr>
      <xdr:grpSp>
        <xdr:nvGrpSpPr>
          <xdr:cNvPr id="34" name="Shape 40">
            <a:extLst>
              <a:ext uri="{FF2B5EF4-FFF2-40B4-BE49-F238E27FC236}">
                <a16:creationId xmlns:a16="http://schemas.microsoft.com/office/drawing/2014/main" id="{A299F8D7-30AC-2AE9-6458-311653FF3172}"/>
              </a:ext>
            </a:extLst>
          </xdr:cNvPr>
          <xdr:cNvGrpSpPr/>
        </xdr:nvGrpSpPr>
        <xdr:grpSpPr>
          <a:xfrm>
            <a:off x="1254989" y="3429849"/>
            <a:ext cx="5086373" cy="588265"/>
            <a:chOff x="15357003" y="9824969"/>
            <a:chExt cx="5354077" cy="564735"/>
          </a:xfrm>
        </xdr:grpSpPr>
        <xdr:sp macro="" textlink="">
          <xdr:nvSpPr>
            <xdr:cNvPr id="35" name="Shape 21">
              <a:extLst>
                <a:ext uri="{FF2B5EF4-FFF2-40B4-BE49-F238E27FC236}">
                  <a16:creationId xmlns:a16="http://schemas.microsoft.com/office/drawing/2014/main" id="{816C581C-9703-E136-8EE3-B6241DA8F837}"/>
                </a:ext>
              </a:extLst>
            </xdr:cNvPr>
            <xdr:cNvSpPr/>
          </xdr:nvSpPr>
          <xdr:spPr>
            <a:xfrm>
              <a:off x="18615580" y="9932504"/>
              <a:ext cx="20955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6" name="Shape 41">
              <a:extLst>
                <a:ext uri="{FF2B5EF4-FFF2-40B4-BE49-F238E27FC236}">
                  <a16:creationId xmlns:a16="http://schemas.microsoft.com/office/drawing/2014/main" id="{639AAD1A-91F6-9BFD-DE8A-32485223DC9C}"/>
                </a:ext>
              </a:extLst>
            </xdr:cNvPr>
            <xdr:cNvSpPr txBox="1"/>
          </xdr:nvSpPr>
          <xdr:spPr>
            <a:xfrm>
              <a:off x="15357003" y="9824969"/>
              <a:ext cx="2095500" cy="457199"/>
            </a:xfrm>
            <a:prstGeom prst="rect">
              <a:avLst/>
            </a:prstGeom>
            <a:solidFill>
              <a:schemeClr val="lt1"/>
            </a:solidFill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Volt (Lightning)</a:t>
              </a:r>
              <a:endParaRPr sz="1400"/>
            </a:p>
          </xdr:txBody>
        </xdr:sp>
        <xdr:pic>
          <xdr:nvPicPr>
            <xdr:cNvPr id="37" name="Shape 42">
              <a:extLst>
                <a:ext uri="{FF2B5EF4-FFF2-40B4-BE49-F238E27FC236}">
                  <a16:creationId xmlns:a16="http://schemas.microsoft.com/office/drawing/2014/main" id="{35055CF4-3CBB-CAD2-95FD-8E854F31D80A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7">
              <a:alphaModFix/>
            </a:blip>
            <a:srcRect/>
            <a:stretch/>
          </xdr:blipFill>
          <xdr:spPr>
            <a:xfrm>
              <a:off x="15497251" y="9864075"/>
              <a:ext cx="381663" cy="38166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/>
  </xdr:twoCellAnchor>
  <xdr:twoCellAnchor>
    <xdr:from>
      <xdr:col>1</xdr:col>
      <xdr:colOff>84126</xdr:colOff>
      <xdr:row>20</xdr:row>
      <xdr:rowOff>153547</xdr:rowOff>
    </xdr:from>
    <xdr:to>
      <xdr:col>12</xdr:col>
      <xdr:colOff>411296</xdr:colOff>
      <xdr:row>24</xdr:row>
      <xdr:rowOff>85965</xdr:rowOff>
    </xdr:to>
    <xdr:grpSp>
      <xdr:nvGrpSpPr>
        <xdr:cNvPr id="38" name="Shape 2" title="Drawing">
          <a:extLst>
            <a:ext uri="{FF2B5EF4-FFF2-40B4-BE49-F238E27FC236}">
              <a16:creationId xmlns:a16="http://schemas.microsoft.com/office/drawing/2014/main" id="{2ED1F873-3F63-4B05-9E6A-0DAEAA55DCE7}"/>
            </a:ext>
          </a:extLst>
        </xdr:cNvPr>
        <xdr:cNvGrpSpPr/>
      </xdr:nvGrpSpPr>
      <xdr:grpSpPr>
        <a:xfrm>
          <a:off x="382300" y="3516286"/>
          <a:ext cx="9015626" cy="595027"/>
          <a:chOff x="-1761955" y="3429866"/>
          <a:chExt cx="8112845" cy="588255"/>
        </a:xfrm>
      </xdr:grpSpPr>
      <xdr:grpSp>
        <xdr:nvGrpSpPr>
          <xdr:cNvPr id="39" name="Shape 43">
            <a:extLst>
              <a:ext uri="{FF2B5EF4-FFF2-40B4-BE49-F238E27FC236}">
                <a16:creationId xmlns:a16="http://schemas.microsoft.com/office/drawing/2014/main" id="{929BA974-77A5-9E37-833B-8DD982047AA7}"/>
              </a:ext>
            </a:extLst>
          </xdr:cNvPr>
          <xdr:cNvGrpSpPr/>
        </xdr:nvGrpSpPr>
        <xdr:grpSpPr>
          <a:xfrm>
            <a:off x="-1761955" y="3429866"/>
            <a:ext cx="8112845" cy="588255"/>
            <a:chOff x="8955965" y="8912236"/>
            <a:chExt cx="8458890" cy="564725"/>
          </a:xfrm>
        </xdr:grpSpPr>
        <xdr:sp macro="" textlink="">
          <xdr:nvSpPr>
            <xdr:cNvPr id="40" name="Shape 21">
              <a:extLst>
                <a:ext uri="{FF2B5EF4-FFF2-40B4-BE49-F238E27FC236}">
                  <a16:creationId xmlns:a16="http://schemas.microsoft.com/office/drawing/2014/main" id="{9CB3CDB3-B40A-D606-5EA3-955A48F9A30B}"/>
                </a:ext>
              </a:extLst>
            </xdr:cNvPr>
            <xdr:cNvSpPr/>
          </xdr:nvSpPr>
          <xdr:spPr>
            <a:xfrm>
              <a:off x="15319355" y="9019761"/>
              <a:ext cx="20955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1" name="Shape 44">
              <a:extLst>
                <a:ext uri="{FF2B5EF4-FFF2-40B4-BE49-F238E27FC236}">
                  <a16:creationId xmlns:a16="http://schemas.microsoft.com/office/drawing/2014/main" id="{ABB4FC6E-109F-B7B6-F182-34A2C079C537}"/>
                </a:ext>
              </a:extLst>
            </xdr:cNvPr>
            <xdr:cNvSpPr txBox="1"/>
          </xdr:nvSpPr>
          <xdr:spPr>
            <a:xfrm>
              <a:off x="8955965" y="8912236"/>
              <a:ext cx="2095500" cy="457200"/>
            </a:xfrm>
            <a:prstGeom prst="rect">
              <a:avLst/>
            </a:prstGeom>
            <a:solidFill>
              <a:schemeClr val="lt1"/>
            </a:solidFill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Aero (Wind)</a:t>
              </a:r>
              <a:endParaRPr sz="1400"/>
            </a:p>
          </xdr:txBody>
        </xdr:sp>
        <xdr:pic>
          <xdr:nvPicPr>
            <xdr:cNvPr id="42" name="Shape 45">
              <a:extLst>
                <a:ext uri="{FF2B5EF4-FFF2-40B4-BE49-F238E27FC236}">
                  <a16:creationId xmlns:a16="http://schemas.microsoft.com/office/drawing/2014/main" id="{191BE69A-F2DD-6728-3A14-8C589424D838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8">
              <a:alphaModFix/>
            </a:blip>
            <a:srcRect/>
            <a:stretch/>
          </xdr:blipFill>
          <xdr:spPr>
            <a:xfrm>
              <a:off x="9138399" y="8950229"/>
              <a:ext cx="412287" cy="41427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/>
  </xdr:twoCellAnchor>
  <xdr:twoCellAnchor>
    <xdr:from>
      <xdr:col>6</xdr:col>
      <xdr:colOff>576330</xdr:colOff>
      <xdr:row>17</xdr:row>
      <xdr:rowOff>110133</xdr:rowOff>
    </xdr:from>
    <xdr:to>
      <xdr:col>7</xdr:col>
      <xdr:colOff>452824</xdr:colOff>
      <xdr:row>20</xdr:row>
      <xdr:rowOff>75153</xdr:rowOff>
    </xdr:to>
    <xdr:sp macro="" textlink="">
      <xdr:nvSpPr>
        <xdr:cNvPr id="43" name="Shape 46">
          <a:extLst>
            <a:ext uri="{FF2B5EF4-FFF2-40B4-BE49-F238E27FC236}">
              <a16:creationId xmlns:a16="http://schemas.microsoft.com/office/drawing/2014/main" id="{C7B79AE1-7AE3-42BE-B508-5890279CEA3B}"/>
            </a:ext>
          </a:extLst>
        </xdr:cNvPr>
        <xdr:cNvSpPr/>
      </xdr:nvSpPr>
      <xdr:spPr>
        <a:xfrm rot="13223771">
          <a:off x="4477439" y="2942785"/>
          <a:ext cx="489407" cy="495107"/>
        </a:xfrm>
        <a:prstGeom prst="rightArrow">
          <a:avLst>
            <a:gd name="adj1" fmla="val 50000"/>
            <a:gd name="adj2" fmla="val 50000"/>
          </a:avLst>
        </a:prstGeom>
        <a:solidFill>
          <a:schemeClr val="accent2"/>
        </a:solidFill>
        <a:ln w="12700" cap="flat" cmpd="sng">
          <a:solidFill>
            <a:srgbClr val="AC5B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/>
  </xdr:twoCellAnchor>
  <xdr:twoCellAnchor>
    <xdr:from>
      <xdr:col>2</xdr:col>
      <xdr:colOff>439424</xdr:colOff>
      <xdr:row>17</xdr:row>
      <xdr:rowOff>20302</xdr:rowOff>
    </xdr:from>
    <xdr:to>
      <xdr:col>3</xdr:col>
      <xdr:colOff>16315</xdr:colOff>
      <xdr:row>20</xdr:row>
      <xdr:rowOff>32051</xdr:rowOff>
    </xdr:to>
    <xdr:sp macro="" textlink="">
      <xdr:nvSpPr>
        <xdr:cNvPr id="44" name="Shape 47">
          <a:extLst>
            <a:ext uri="{FF2B5EF4-FFF2-40B4-BE49-F238E27FC236}">
              <a16:creationId xmlns:a16="http://schemas.microsoft.com/office/drawing/2014/main" id="{24A1C6A1-3116-427B-ACBA-7AA3E644B434}"/>
            </a:ext>
          </a:extLst>
        </xdr:cNvPr>
        <xdr:cNvSpPr/>
      </xdr:nvSpPr>
      <xdr:spPr>
        <a:xfrm rot="7710136">
          <a:off x="1599457" y="2809481"/>
          <a:ext cx="495326" cy="456121"/>
        </a:xfrm>
        <a:prstGeom prst="rightArrow">
          <a:avLst>
            <a:gd name="adj1" fmla="val 50000"/>
            <a:gd name="adj2" fmla="val 50000"/>
          </a:avLst>
        </a:prstGeom>
        <a:solidFill>
          <a:schemeClr val="accent2"/>
        </a:solidFill>
        <a:ln w="12700" cap="flat" cmpd="sng">
          <a:solidFill>
            <a:srgbClr val="AC5B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/>
  </xdr:twoCellAnchor>
  <xdr:twoCellAnchor>
    <xdr:from>
      <xdr:col>2</xdr:col>
      <xdr:colOff>429921</xdr:colOff>
      <xdr:row>24</xdr:row>
      <xdr:rowOff>78869</xdr:rowOff>
    </xdr:from>
    <xdr:to>
      <xdr:col>3</xdr:col>
      <xdr:colOff>35319</xdr:colOff>
      <xdr:row>27</xdr:row>
      <xdr:rowOff>53235</xdr:rowOff>
    </xdr:to>
    <xdr:sp macro="" textlink="">
      <xdr:nvSpPr>
        <xdr:cNvPr id="45" name="Shape 48">
          <a:extLst>
            <a:ext uri="{FF2B5EF4-FFF2-40B4-BE49-F238E27FC236}">
              <a16:creationId xmlns:a16="http://schemas.microsoft.com/office/drawing/2014/main" id="{4EBAC1F7-EBC7-4CFE-AFAF-95D811B8816E}"/>
            </a:ext>
          </a:extLst>
        </xdr:cNvPr>
        <xdr:cNvSpPr/>
      </xdr:nvSpPr>
      <xdr:spPr>
        <a:xfrm rot="2551339">
          <a:off x="1609556" y="3976792"/>
          <a:ext cx="484628" cy="457943"/>
        </a:xfrm>
        <a:prstGeom prst="rightArrow">
          <a:avLst>
            <a:gd name="adj1" fmla="val 50000"/>
            <a:gd name="adj2" fmla="val 50000"/>
          </a:avLst>
        </a:prstGeom>
        <a:solidFill>
          <a:schemeClr val="accent2"/>
        </a:solidFill>
        <a:ln w="12700" cap="flat" cmpd="sng">
          <a:solidFill>
            <a:srgbClr val="AC5B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/>
  </xdr:twoCellAnchor>
  <xdr:twoCellAnchor>
    <xdr:from>
      <xdr:col>4</xdr:col>
      <xdr:colOff>310425</xdr:colOff>
      <xdr:row>28</xdr:row>
      <xdr:rowOff>114932</xdr:rowOff>
    </xdr:from>
    <xdr:to>
      <xdr:col>5</xdr:col>
      <xdr:colOff>300951</xdr:colOff>
      <xdr:row>30</xdr:row>
      <xdr:rowOff>100959</xdr:rowOff>
    </xdr:to>
    <xdr:sp macro="" textlink="">
      <xdr:nvSpPr>
        <xdr:cNvPr id="46" name="Shape 49">
          <a:extLst>
            <a:ext uri="{FF2B5EF4-FFF2-40B4-BE49-F238E27FC236}">
              <a16:creationId xmlns:a16="http://schemas.microsoft.com/office/drawing/2014/main" id="{52BC90DD-5833-4843-8684-9A677F1CC13E}"/>
            </a:ext>
          </a:extLst>
        </xdr:cNvPr>
        <xdr:cNvSpPr/>
      </xdr:nvSpPr>
      <xdr:spPr>
        <a:xfrm>
          <a:off x="2977425" y="4744082"/>
          <a:ext cx="600126" cy="309877"/>
        </a:xfrm>
        <a:prstGeom prst="rightArrow">
          <a:avLst>
            <a:gd name="adj1" fmla="val 50000"/>
            <a:gd name="adj2" fmla="val 50000"/>
          </a:avLst>
        </a:prstGeom>
        <a:solidFill>
          <a:schemeClr val="accent2"/>
        </a:solidFill>
        <a:ln w="12700" cap="flat" cmpd="sng">
          <a:solidFill>
            <a:srgbClr val="AC5B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/>
  </xdr:twoCellAnchor>
  <xdr:twoCellAnchor>
    <xdr:from>
      <xdr:col>6</xdr:col>
      <xdr:colOff>367990</xdr:colOff>
      <xdr:row>24</xdr:row>
      <xdr:rowOff>50831</xdr:rowOff>
    </xdr:from>
    <xdr:to>
      <xdr:col>7</xdr:col>
      <xdr:colOff>244484</xdr:colOff>
      <xdr:row>27</xdr:row>
      <xdr:rowOff>71926</xdr:rowOff>
    </xdr:to>
    <xdr:sp macro="" textlink="">
      <xdr:nvSpPr>
        <xdr:cNvPr id="47" name="Shape 50">
          <a:extLst>
            <a:ext uri="{FF2B5EF4-FFF2-40B4-BE49-F238E27FC236}">
              <a16:creationId xmlns:a16="http://schemas.microsoft.com/office/drawing/2014/main" id="{2A386885-C587-44F7-9298-0BEF81FF3283}"/>
            </a:ext>
          </a:extLst>
        </xdr:cNvPr>
        <xdr:cNvSpPr/>
      </xdr:nvSpPr>
      <xdr:spPr>
        <a:xfrm rot="18742893">
          <a:off x="4241238" y="3958775"/>
          <a:ext cx="504672" cy="484629"/>
        </a:xfrm>
        <a:prstGeom prst="rightArrow">
          <a:avLst>
            <a:gd name="adj1" fmla="val 50000"/>
            <a:gd name="adj2" fmla="val 50000"/>
          </a:avLst>
        </a:prstGeom>
        <a:solidFill>
          <a:schemeClr val="accent2"/>
        </a:solidFill>
        <a:ln w="12700" cap="flat" cmpd="sng">
          <a:solidFill>
            <a:srgbClr val="AC5B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/>
  </xdr:twoCellAnchor>
  <xdr:twoCellAnchor>
    <xdr:from>
      <xdr:col>1</xdr:col>
      <xdr:colOff>68301</xdr:colOff>
      <xdr:row>11</xdr:row>
      <xdr:rowOff>134642</xdr:rowOff>
    </xdr:from>
    <xdr:to>
      <xdr:col>3</xdr:col>
      <xdr:colOff>285751</xdr:colOff>
      <xdr:row>13</xdr:row>
      <xdr:rowOff>124558</xdr:rowOff>
    </xdr:to>
    <xdr:sp macro="" textlink="">
      <xdr:nvSpPr>
        <xdr:cNvPr id="49" name="Shape 51">
          <a:extLst>
            <a:ext uri="{FF2B5EF4-FFF2-40B4-BE49-F238E27FC236}">
              <a16:creationId xmlns:a16="http://schemas.microsoft.com/office/drawing/2014/main" id="{B4886529-B60E-CCEE-D414-797D5B783786}"/>
            </a:ext>
          </a:extLst>
        </xdr:cNvPr>
        <xdr:cNvSpPr txBox="1"/>
      </xdr:nvSpPr>
      <xdr:spPr>
        <a:xfrm>
          <a:off x="361378" y="1973700"/>
          <a:ext cx="1983238" cy="3123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1">
              <a:latin typeface="Calibri math"/>
              <a:ea typeface="Calibri" panose="020F0502020204030204" pitchFamily="34" charset="0"/>
              <a:cs typeface="Calibri" panose="020F0502020204030204" pitchFamily="34" charset="0"/>
              <a:sym typeface="Cambria Math"/>
            </a:rPr>
            <a:t>Strong</a:t>
          </a:r>
          <a:r>
            <a:rPr lang="en-US" sz="1000" b="1" i="1" baseline="0">
              <a:latin typeface="Calibri math"/>
              <a:ea typeface="Calibri" panose="020F0502020204030204" pitchFamily="34" charset="0"/>
              <a:cs typeface="Calibri" panose="020F0502020204030204" pitchFamily="34" charset="0"/>
              <a:sym typeface="Cambria Math"/>
            </a:rPr>
            <a:t> Element = Damage * 1.5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1" baseline="0">
              <a:latin typeface="Calibri math"/>
              <a:ea typeface="Calibri" panose="020F0502020204030204" pitchFamily="34" charset="0"/>
              <a:cs typeface="Calibri" panose="020F0502020204030204" pitchFamily="34" charset="0"/>
              <a:sym typeface="Cambria Math"/>
            </a:rPr>
            <a:t>Weak Element = Damage * 0.75</a:t>
          </a:r>
          <a:endParaRPr sz="1000" b="1" i="1">
            <a:latin typeface="Calibri math"/>
            <a:ea typeface="Calibri" panose="020F0502020204030204" pitchFamily="34" charset="0"/>
            <a:cs typeface="Calibri" panose="020F0502020204030204" pitchFamily="34" charset="0"/>
            <a:sym typeface="Cambria Math"/>
          </a:endParaRPr>
        </a:p>
      </xdr:txBody>
    </xdr:sp>
    <xdr:clientData/>
  </xdr:twoCellAnchor>
  <xdr:oneCellAnchor>
    <xdr:from>
      <xdr:col>12</xdr:col>
      <xdr:colOff>63011</xdr:colOff>
      <xdr:row>3</xdr:row>
      <xdr:rowOff>154597</xdr:rowOff>
    </xdr:from>
    <xdr:ext cx="1761392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60136853-3DF7-E6FE-D47B-6973BF5B4C7E}"/>
                </a:ext>
              </a:extLst>
            </xdr:cNvPr>
            <xdr:cNvSpPr txBox="1"/>
          </xdr:nvSpPr>
          <xdr:spPr>
            <a:xfrm>
              <a:off x="8488973" y="674809"/>
              <a:ext cx="1761392" cy="3458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1" i="1">
                        <a:latin typeface="Cambria Math" panose="02040503050406030204" pitchFamily="18" charset="0"/>
                      </a:rPr>
                      <m:t>𝑫𝒐𝒅𝒈𝒆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%+</m:t>
                    </m:r>
                    <m:d>
                      <m:dPr>
                        <m:ctrlPr>
                          <a:rPr lang="en-US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000" b="1" i="1">
                                <a:latin typeface="Cambria Math" panose="02040503050406030204" pitchFamily="18" charset="0"/>
                              </a:rPr>
                              <m:t>𝑺𝒑𝒆𝒆𝒅</m:t>
                            </m:r>
                          </m:num>
                          <m:den>
                            <m:r>
                              <a:rPr lang="en-US" sz="1000" b="1" i="1">
                                <a:latin typeface="Cambria Math" panose="02040503050406030204" pitchFamily="18" charset="0"/>
                              </a:rPr>
                              <m:t>𝟏𝟓𝟎</m:t>
                            </m:r>
                          </m:den>
                        </m:f>
                      </m:e>
                    </m:d>
                    <m:r>
                      <a:rPr lang="en-US" sz="1000" b="1" i="1">
                        <a:latin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en-US" sz="1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60136853-3DF7-E6FE-D47B-6973BF5B4C7E}"/>
                </a:ext>
              </a:extLst>
            </xdr:cNvPr>
            <xdr:cNvSpPr txBox="1"/>
          </xdr:nvSpPr>
          <xdr:spPr>
            <a:xfrm>
              <a:off x="8488973" y="674809"/>
              <a:ext cx="1761392" cy="3458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000" b="1" i="0">
                  <a:latin typeface="Cambria Math" panose="02040503050406030204" pitchFamily="18" charset="0"/>
                </a:rPr>
                <a:t>𝑫𝒐𝒅𝒈𝒆=𝟐%+(𝑺𝒑𝒆𝒆𝒅/𝟏𝟓𝟎)%</a:t>
              </a:r>
              <a:endParaRPr lang="en-US" sz="1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65942</xdr:colOff>
      <xdr:row>6</xdr:row>
      <xdr:rowOff>80596</xdr:rowOff>
    </xdr:from>
    <xdr:ext cx="1758461" cy="1565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29678B0D-0F80-41C7-BD59-1F95E964276F}"/>
                </a:ext>
              </a:extLst>
            </xdr:cNvPr>
            <xdr:cNvSpPr txBox="1"/>
          </xdr:nvSpPr>
          <xdr:spPr>
            <a:xfrm>
              <a:off x="8491904" y="1084384"/>
              <a:ext cx="1758461" cy="15651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1" i="1">
                        <a:latin typeface="Cambria Math" panose="02040503050406030204" pitchFamily="18" charset="0"/>
                      </a:rPr>
                      <m:t>𝑪𝒓𝒊𝒕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𝑫𝒎𝒈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 ∗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𝑫𝒂𝒎𝒂𝒈𝒆</m:t>
                    </m:r>
                  </m:oMath>
                </m:oMathPara>
              </a14:m>
              <a:endParaRPr lang="en-US" sz="1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29678B0D-0F80-41C7-BD59-1F95E964276F}"/>
                </a:ext>
              </a:extLst>
            </xdr:cNvPr>
            <xdr:cNvSpPr txBox="1"/>
          </xdr:nvSpPr>
          <xdr:spPr>
            <a:xfrm>
              <a:off x="8491904" y="1084384"/>
              <a:ext cx="1758461" cy="15651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000" b="1" i="0">
                  <a:latin typeface="Cambria Math" panose="02040503050406030204" pitchFamily="18" charset="0"/>
                </a:rPr>
                <a:t>𝑪𝒓𝒊𝒕 𝑫𝒎𝒈=𝟐 ∗𝑫𝒂𝒎𝒂𝒈𝒆</a:t>
              </a:r>
              <a:endParaRPr lang="en-US" sz="1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68873</xdr:colOff>
      <xdr:row>1</xdr:row>
      <xdr:rowOff>94517</xdr:rowOff>
    </xdr:from>
    <xdr:ext cx="1770036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2610F79-F399-4710-AC8F-1F90806EB698}"/>
                </a:ext>
              </a:extLst>
            </xdr:cNvPr>
            <xdr:cNvSpPr txBox="1"/>
          </xdr:nvSpPr>
          <xdr:spPr>
            <a:xfrm>
              <a:off x="8494835" y="255709"/>
              <a:ext cx="1770036" cy="3458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1" i="1">
                        <a:latin typeface="Cambria Math" panose="02040503050406030204" pitchFamily="18" charset="0"/>
                      </a:rPr>
                      <m:t>𝑪𝒓𝒊𝒕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𝑹𝒂𝒕𝒆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%+</m:t>
                    </m:r>
                    <m:d>
                      <m:dPr>
                        <m:ctrlPr>
                          <a:rPr lang="en-US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000" b="1" i="1">
                                <a:latin typeface="Cambria Math" panose="02040503050406030204" pitchFamily="18" charset="0"/>
                              </a:rPr>
                              <m:t>𝑺𝒑𝒆𝒆𝒅</m:t>
                            </m:r>
                          </m:num>
                          <m:den>
                            <m:r>
                              <a:rPr lang="en-US" sz="1000" b="1" i="1">
                                <a:latin typeface="Cambria Math" panose="02040503050406030204" pitchFamily="18" charset="0"/>
                              </a:rPr>
                              <m:t>𝟏𝟎𝟎</m:t>
                            </m:r>
                          </m:den>
                        </m:f>
                      </m:e>
                    </m:d>
                    <m:r>
                      <a:rPr lang="en-US" sz="1000" b="1" i="1">
                        <a:latin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en-US" sz="1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2610F79-F399-4710-AC8F-1F90806EB698}"/>
                </a:ext>
              </a:extLst>
            </xdr:cNvPr>
            <xdr:cNvSpPr txBox="1"/>
          </xdr:nvSpPr>
          <xdr:spPr>
            <a:xfrm>
              <a:off x="8494835" y="255709"/>
              <a:ext cx="1770036" cy="3458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00" b="1" i="0">
                  <a:latin typeface="Cambria Math" panose="02040503050406030204" pitchFamily="18" charset="0"/>
                </a:rPr>
                <a:t>𝑪𝒓𝒊𝒕 𝑹𝒂𝒕𝒆=𝟐%+(𝑺𝒑𝒆𝒆𝒅/𝟏𝟎𝟎)%</a:t>
              </a:r>
              <a:endParaRPr lang="en-US" sz="1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80599</xdr:colOff>
      <xdr:row>9</xdr:row>
      <xdr:rowOff>73270</xdr:rowOff>
    </xdr:from>
    <xdr:ext cx="2278670" cy="674077"/>
    <xdr:grpSp>
      <xdr:nvGrpSpPr>
        <xdr:cNvPr id="53" name="Shape 2" title="Drawing">
          <a:extLst>
            <a:ext uri="{FF2B5EF4-FFF2-40B4-BE49-F238E27FC236}">
              <a16:creationId xmlns:a16="http://schemas.microsoft.com/office/drawing/2014/main" id="{A1AB54DD-77E4-457D-8C6A-39B343B6DE1F}"/>
            </a:ext>
          </a:extLst>
        </xdr:cNvPr>
        <xdr:cNvGrpSpPr/>
      </xdr:nvGrpSpPr>
      <xdr:grpSpPr>
        <a:xfrm>
          <a:off x="9067229" y="1597270"/>
          <a:ext cx="2278670" cy="674077"/>
          <a:chOff x="1945475" y="2491200"/>
          <a:chExt cx="4796250" cy="1071325"/>
        </a:xfrm>
      </xdr:grpSpPr>
      <xdr:pic>
        <xdr:nvPicPr>
          <xdr:cNvPr id="54" name="Shape 3">
            <a:extLst>
              <a:ext uri="{FF2B5EF4-FFF2-40B4-BE49-F238E27FC236}">
                <a16:creationId xmlns:a16="http://schemas.microsoft.com/office/drawing/2014/main" id="{5C72909D-366B-7B28-C110-46CE20C1103A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9">
            <a:alphaModFix/>
          </a:blip>
          <a:stretch>
            <a:fillRect/>
          </a:stretch>
        </xdr:blipFill>
        <xdr:spPr>
          <a:xfrm>
            <a:off x="1945475" y="2491200"/>
            <a:ext cx="4796250" cy="1071325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</xdr:pic>
    </xdr:grpSp>
    <xdr:clientData fLocksWithSheet="0"/>
  </xdr:oneCellAnchor>
  <xdr:oneCellAnchor>
    <xdr:from>
      <xdr:col>15</xdr:col>
      <xdr:colOff>43472</xdr:colOff>
      <xdr:row>30</xdr:row>
      <xdr:rowOff>39807</xdr:rowOff>
    </xdr:from>
    <xdr:ext cx="2655277" cy="2976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034E938-8C7E-4729-B0AA-B93D0B7C6880}"/>
                </a:ext>
              </a:extLst>
            </xdr:cNvPr>
            <xdr:cNvSpPr txBox="1"/>
          </xdr:nvSpPr>
          <xdr:spPr>
            <a:xfrm>
              <a:off x="10536847" y="4905495"/>
              <a:ext cx="2655277" cy="29764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1" i="1">
                        <a:latin typeface="Cambria Math" panose="02040503050406030204" pitchFamily="18" charset="0"/>
                      </a:rPr>
                      <m:t>𝑩𝒂𝒔𝒆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𝑨𝒕𝒕𝒓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.  + (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𝑰𝒏𝒄𝒓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. + 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𝑴𝒖𝒍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.   ∗(</m:t>
                    </m:r>
                    <m:f>
                      <m:fPr>
                        <m:ctrlPr>
                          <a:rPr lang="en-US" sz="10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𝑳𝒐𝒈</m:t>
                        </m:r>
                        <m:d>
                          <m:dPr>
                            <m:ctrlPr>
                              <a:rPr lang="en-US" sz="10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000" b="1" i="1">
                                <a:latin typeface="Cambria Math" panose="02040503050406030204" pitchFamily="18" charset="0"/>
                              </a:rPr>
                              <m:t>𝑳𝒆𝒗𝒆𝒍</m:t>
                            </m:r>
                          </m:e>
                        </m:d>
                      </m:num>
                      <m:den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𝟐</m:t>
                        </m:r>
                      </m:den>
                    </m:f>
                    <m:r>
                      <a:rPr lang="en-US" sz="1000" b="1" i="1">
                        <a:latin typeface="Cambria Math" panose="02040503050406030204" pitchFamily="18" charset="0"/>
                      </a:rPr>
                      <m:t>))</m:t>
                    </m:r>
                  </m:oMath>
                </m:oMathPara>
              </a14:m>
              <a:endParaRPr lang="en-US" sz="1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034E938-8C7E-4729-B0AA-B93D0B7C6880}"/>
                </a:ext>
              </a:extLst>
            </xdr:cNvPr>
            <xdr:cNvSpPr txBox="1"/>
          </xdr:nvSpPr>
          <xdr:spPr>
            <a:xfrm>
              <a:off x="10536847" y="4905495"/>
              <a:ext cx="2655277" cy="29764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000" b="1" i="0">
                  <a:latin typeface="Cambria Math" panose="02040503050406030204" pitchFamily="18" charset="0"/>
                </a:rPr>
                <a:t>𝑩𝒂𝒔𝒆 𝑨𝒕𝒕𝒓.  + (𝑰𝒏𝒄𝒓. + 𝑴𝒖𝒍.   ∗(𝑳𝒐𝒈(𝑳𝒆𝒗𝒆𝒍)/𝟐))</a:t>
              </a:r>
              <a:endParaRPr lang="en-US" sz="1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37122</xdr:colOff>
      <xdr:row>36</xdr:row>
      <xdr:rowOff>25520</xdr:rowOff>
    </xdr:from>
    <xdr:ext cx="2987066" cy="1655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7A56D35B-559A-4A21-83AB-C772D6FAE599}"/>
                </a:ext>
              </a:extLst>
            </xdr:cNvPr>
            <xdr:cNvSpPr txBox="1"/>
          </xdr:nvSpPr>
          <xdr:spPr>
            <a:xfrm>
              <a:off x="9871685" y="5875458"/>
              <a:ext cx="2987066" cy="16555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1" i="1">
                        <a:latin typeface="Cambria Math" panose="02040503050406030204" pitchFamily="18" charset="0"/>
                      </a:rPr>
                      <m:t>𝑪𝒉𝒂𝒓𝒂𝒄𝒕𝒆𝒓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𝑬𝒙𝒑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.  = 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𝑩𝒂𝒔𝒆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𝑬𝒙𝒑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.  ∗ (</m:t>
                    </m:r>
                    <m:sSup>
                      <m:sSupPr>
                        <m:ctrlPr>
                          <a:rPr lang="en-US" sz="10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𝑪𝒖𝒓𝒓𝒆𝒏𝒕</m:t>
                        </m:r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𝑳𝒗𝒍</m:t>
                        </m:r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.</m:t>
                        </m:r>
                      </m:e>
                      <m:sup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𝟓</m:t>
                        </m:r>
                      </m:sup>
                    </m:sSup>
                    <m:r>
                      <a:rPr lang="en-US" sz="10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7A56D35B-559A-4A21-83AB-C772D6FAE599}"/>
                </a:ext>
              </a:extLst>
            </xdr:cNvPr>
            <xdr:cNvSpPr txBox="1"/>
          </xdr:nvSpPr>
          <xdr:spPr>
            <a:xfrm>
              <a:off x="9871685" y="5875458"/>
              <a:ext cx="2987066" cy="16555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000" b="1" i="0">
                  <a:latin typeface="Cambria Math" panose="02040503050406030204" pitchFamily="18" charset="0"/>
                </a:rPr>
                <a:t>𝑪𝒉𝒂𝒓𝒂𝒄𝒕𝒆𝒓 𝑬𝒙𝒑.  = 𝑩𝒂𝒔𝒆 𝑬𝒙𝒑.  ∗ (〖𝑪𝒖𝒓𝒓𝒆𝒏𝒕 𝑳𝒗𝒍.〗^(𝟏.𝟓))</a:t>
              </a:r>
              <a:endParaRPr lang="en-US" sz="1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30772</xdr:colOff>
      <xdr:row>39</xdr:row>
      <xdr:rowOff>11232</xdr:rowOff>
    </xdr:from>
    <xdr:ext cx="2358415" cy="1655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7A054163-74D0-4CF9-BFB8-919C07C8366D}"/>
                </a:ext>
              </a:extLst>
            </xdr:cNvPr>
            <xdr:cNvSpPr txBox="1"/>
          </xdr:nvSpPr>
          <xdr:spPr>
            <a:xfrm>
              <a:off x="9865335" y="6337420"/>
              <a:ext cx="2358415" cy="16555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1" i="1">
                        <a:latin typeface="Cambria Math" panose="02040503050406030204" pitchFamily="18" charset="0"/>
                      </a:rPr>
                      <m:t>𝑷𝒍𝒂𝒚𝒆𝒓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𝑬𝒙𝒑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.  =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𝟏𝟓</m:t>
                    </m:r>
                    <m:r>
                      <a:rPr lang="en-US" sz="1000" b="1" i="1">
                        <a:latin typeface="Cambria Math" panose="02040503050406030204" pitchFamily="18" charset="0"/>
                      </a:rPr>
                      <m:t> ∗ (</m:t>
                    </m:r>
                    <m:sSup>
                      <m:sSupPr>
                        <m:ctrlPr>
                          <a:rPr lang="en-US" sz="10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𝑪𝒖𝒓𝒓𝒆𝒏𝒕</m:t>
                        </m:r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𝑳𝒗𝒍</m:t>
                        </m:r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.</m:t>
                        </m:r>
                      </m:e>
                      <m:sup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𝟓</m:t>
                        </m:r>
                      </m:sup>
                    </m:sSup>
                    <m:r>
                      <a:rPr lang="en-US" sz="10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7A054163-74D0-4CF9-BFB8-919C07C8366D}"/>
                </a:ext>
              </a:extLst>
            </xdr:cNvPr>
            <xdr:cNvSpPr txBox="1"/>
          </xdr:nvSpPr>
          <xdr:spPr>
            <a:xfrm>
              <a:off x="9865335" y="6337420"/>
              <a:ext cx="2358415" cy="16555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000" b="1" i="0">
                  <a:latin typeface="Cambria Math" panose="02040503050406030204" pitchFamily="18" charset="0"/>
                </a:rPr>
                <a:t>𝑷𝒍𝒂𝒚𝒆𝒓 𝑬𝒙𝒑.  =𝟏𝟓 ∗ (〖𝑪𝒖𝒓𝒓𝒆𝒏𝒕 𝑳𝒗𝒍.〗^(𝟏.𝟓))</a:t>
              </a:r>
              <a:endParaRPr lang="en-US" sz="1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>
    <xdr:from>
      <xdr:col>3</xdr:col>
      <xdr:colOff>183931</xdr:colOff>
      <xdr:row>34</xdr:row>
      <xdr:rowOff>186888</xdr:rowOff>
    </xdr:from>
    <xdr:to>
      <xdr:col>5</xdr:col>
      <xdr:colOff>229914</xdr:colOff>
      <xdr:row>40</xdr:row>
      <xdr:rowOff>24963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AB5D1FD7-ACFB-06FF-48A9-450BC5A423F6}"/>
            </a:ext>
          </a:extLst>
        </xdr:cNvPr>
        <xdr:cNvSpPr/>
      </xdr:nvSpPr>
      <xdr:spPr>
        <a:xfrm>
          <a:off x="2240017" y="5849336"/>
          <a:ext cx="1425466" cy="849696"/>
        </a:xfrm>
        <a:prstGeom prst="roundRect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184258</xdr:colOff>
      <xdr:row>36</xdr:row>
      <xdr:rowOff>97549</xdr:rowOff>
    </xdr:from>
    <xdr:to>
      <xdr:col>4</xdr:col>
      <xdr:colOff>513045</xdr:colOff>
      <xdr:row>38</xdr:row>
      <xdr:rowOff>105103</xdr:rowOff>
    </xdr:to>
    <xdr:sp macro="" textlink="">
      <xdr:nvSpPr>
        <xdr:cNvPr id="61" name="Flowchart: Connector 60">
          <a:extLst>
            <a:ext uri="{FF2B5EF4-FFF2-40B4-BE49-F238E27FC236}">
              <a16:creationId xmlns:a16="http://schemas.microsoft.com/office/drawing/2014/main" id="{21DDA8FD-75AA-312D-D263-A5D02D1838E7}"/>
            </a:ext>
          </a:extLst>
        </xdr:cNvPr>
        <xdr:cNvSpPr/>
      </xdr:nvSpPr>
      <xdr:spPr>
        <a:xfrm>
          <a:off x="3008913" y="6114721"/>
          <a:ext cx="328787" cy="336003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900" b="1"/>
            <a:t>1</a:t>
          </a:r>
          <a:endParaRPr lang="en-US" sz="800" b="1"/>
        </a:p>
      </xdr:txBody>
    </xdr:sp>
    <xdr:clientData/>
  </xdr:twoCellAnchor>
  <xdr:twoCellAnchor>
    <xdr:from>
      <xdr:col>3</xdr:col>
      <xdr:colOff>533727</xdr:colOff>
      <xdr:row>35</xdr:row>
      <xdr:rowOff>46311</xdr:rowOff>
    </xdr:from>
    <xdr:to>
      <xdr:col>4</xdr:col>
      <xdr:colOff>93945</xdr:colOff>
      <xdr:row>37</xdr:row>
      <xdr:rowOff>53865</xdr:rowOff>
    </xdr:to>
    <xdr:sp macro="" textlink="">
      <xdr:nvSpPr>
        <xdr:cNvPr id="63" name="Flowchart: Connector 62">
          <a:extLst>
            <a:ext uri="{FF2B5EF4-FFF2-40B4-BE49-F238E27FC236}">
              <a16:creationId xmlns:a16="http://schemas.microsoft.com/office/drawing/2014/main" id="{3D82DA4E-E4E9-46AC-9FEB-1E4E77DF8199}"/>
            </a:ext>
          </a:extLst>
        </xdr:cNvPr>
        <xdr:cNvSpPr/>
      </xdr:nvSpPr>
      <xdr:spPr>
        <a:xfrm>
          <a:off x="2589813" y="5899259"/>
          <a:ext cx="328787" cy="336003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900" b="1"/>
            <a:t>2</a:t>
          </a:r>
          <a:endParaRPr lang="en-US" sz="800" b="1"/>
        </a:p>
      </xdr:txBody>
    </xdr:sp>
    <xdr:clientData/>
  </xdr:twoCellAnchor>
  <xdr:twoCellAnchor>
    <xdr:from>
      <xdr:col>3</xdr:col>
      <xdr:colOff>528472</xdr:colOff>
      <xdr:row>37</xdr:row>
      <xdr:rowOff>139590</xdr:rowOff>
    </xdr:from>
    <xdr:to>
      <xdr:col>4</xdr:col>
      <xdr:colOff>88690</xdr:colOff>
      <xdr:row>39</xdr:row>
      <xdr:rowOff>147145</xdr:rowOff>
    </xdr:to>
    <xdr:sp macro="" textlink="">
      <xdr:nvSpPr>
        <xdr:cNvPr id="64" name="Flowchart: Connector 63">
          <a:extLst>
            <a:ext uri="{FF2B5EF4-FFF2-40B4-BE49-F238E27FC236}">
              <a16:creationId xmlns:a16="http://schemas.microsoft.com/office/drawing/2014/main" id="{CFE0A7A7-3FD2-4135-A804-542A154F5380}"/>
            </a:ext>
          </a:extLst>
        </xdr:cNvPr>
        <xdr:cNvSpPr/>
      </xdr:nvSpPr>
      <xdr:spPr>
        <a:xfrm>
          <a:off x="2584558" y="6320987"/>
          <a:ext cx="328787" cy="336003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900" b="1"/>
            <a:t>3</a:t>
          </a:r>
        </a:p>
      </xdr:txBody>
    </xdr:sp>
    <xdr:clientData/>
  </xdr:twoCellAnchor>
  <xdr:twoCellAnchor>
    <xdr:from>
      <xdr:col>3</xdr:col>
      <xdr:colOff>190500</xdr:colOff>
      <xdr:row>41</xdr:row>
      <xdr:rowOff>67660</xdr:rowOff>
    </xdr:from>
    <xdr:to>
      <xdr:col>5</xdr:col>
      <xdr:colOff>238125</xdr:colOff>
      <xdr:row>47</xdr:row>
      <xdr:rowOff>140937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A6D0E988-B91F-4829-91C1-C4845E288C27}"/>
            </a:ext>
          </a:extLst>
        </xdr:cNvPr>
        <xdr:cNvSpPr/>
      </xdr:nvSpPr>
      <xdr:spPr>
        <a:xfrm>
          <a:off x="2247900" y="6830410"/>
          <a:ext cx="1428750" cy="1044827"/>
        </a:xfrm>
        <a:prstGeom prst="roundRect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226628</xdr:colOff>
      <xdr:row>42</xdr:row>
      <xdr:rowOff>119090</xdr:rowOff>
    </xdr:from>
    <xdr:to>
      <xdr:col>4</xdr:col>
      <xdr:colOff>500744</xdr:colOff>
      <xdr:row>44</xdr:row>
      <xdr:rowOff>52551</xdr:rowOff>
    </xdr:to>
    <xdr:sp macro="" textlink="">
      <xdr:nvSpPr>
        <xdr:cNvPr id="66" name="Flowchart: Connector 65">
          <a:extLst>
            <a:ext uri="{FF2B5EF4-FFF2-40B4-BE49-F238E27FC236}">
              <a16:creationId xmlns:a16="http://schemas.microsoft.com/office/drawing/2014/main" id="{DB943AE3-445B-4BDD-BC06-3E6D75D65E4A}"/>
            </a:ext>
          </a:extLst>
        </xdr:cNvPr>
        <xdr:cNvSpPr/>
      </xdr:nvSpPr>
      <xdr:spPr>
        <a:xfrm>
          <a:off x="3056914" y="7096833"/>
          <a:ext cx="274116" cy="260032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900" b="1"/>
            <a:t>1</a:t>
          </a:r>
          <a:endParaRPr lang="en-US" sz="800" b="1"/>
        </a:p>
      </xdr:txBody>
    </xdr:sp>
    <xdr:clientData/>
  </xdr:twoCellAnchor>
  <xdr:twoCellAnchor>
    <xdr:from>
      <xdr:col>4</xdr:col>
      <xdr:colOff>232304</xdr:colOff>
      <xdr:row>44</xdr:row>
      <xdr:rowOff>134291</xdr:rowOff>
    </xdr:from>
    <xdr:to>
      <xdr:col>4</xdr:col>
      <xdr:colOff>506420</xdr:colOff>
      <xdr:row>46</xdr:row>
      <xdr:rowOff>67751</xdr:rowOff>
    </xdr:to>
    <xdr:sp macro="" textlink="">
      <xdr:nvSpPr>
        <xdr:cNvPr id="73" name="Flowchart: Connector 72">
          <a:extLst>
            <a:ext uri="{FF2B5EF4-FFF2-40B4-BE49-F238E27FC236}">
              <a16:creationId xmlns:a16="http://schemas.microsoft.com/office/drawing/2014/main" id="{7BF61DD8-D7C2-427B-815C-17556904A2A4}"/>
            </a:ext>
          </a:extLst>
        </xdr:cNvPr>
        <xdr:cNvSpPr/>
      </xdr:nvSpPr>
      <xdr:spPr>
        <a:xfrm>
          <a:off x="3061229" y="7382816"/>
          <a:ext cx="274116" cy="25731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900" b="1"/>
            <a:t>2</a:t>
          </a:r>
          <a:endParaRPr lang="en-US" sz="800" b="1"/>
        </a:p>
      </xdr:txBody>
    </xdr:sp>
    <xdr:clientData/>
  </xdr:twoCellAnchor>
  <xdr:twoCellAnchor>
    <xdr:from>
      <xdr:col>3</xdr:col>
      <xdr:colOff>588115</xdr:colOff>
      <xdr:row>41</xdr:row>
      <xdr:rowOff>130772</xdr:rowOff>
    </xdr:from>
    <xdr:to>
      <xdr:col>4</xdr:col>
      <xdr:colOff>89345</xdr:colOff>
      <xdr:row>43</xdr:row>
      <xdr:rowOff>64232</xdr:rowOff>
    </xdr:to>
    <xdr:sp macro="" textlink="">
      <xdr:nvSpPr>
        <xdr:cNvPr id="74" name="Flowchart: Connector 73">
          <a:extLst>
            <a:ext uri="{FF2B5EF4-FFF2-40B4-BE49-F238E27FC236}">
              <a16:creationId xmlns:a16="http://schemas.microsoft.com/office/drawing/2014/main" id="{F045B901-C65E-4AD0-91EC-3C37F130223E}"/>
            </a:ext>
          </a:extLst>
        </xdr:cNvPr>
        <xdr:cNvSpPr/>
      </xdr:nvSpPr>
      <xdr:spPr>
        <a:xfrm>
          <a:off x="2651091" y="6919077"/>
          <a:ext cx="272522" cy="258704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900" b="1"/>
            <a:t>3</a:t>
          </a:r>
          <a:endParaRPr lang="en-US" sz="800" b="1"/>
        </a:p>
      </xdr:txBody>
    </xdr:sp>
    <xdr:clientData/>
  </xdr:twoCellAnchor>
  <xdr:twoCellAnchor>
    <xdr:from>
      <xdr:col>3</xdr:col>
      <xdr:colOff>574177</xdr:colOff>
      <xdr:row>43</xdr:row>
      <xdr:rowOff>125461</xdr:rowOff>
    </xdr:from>
    <xdr:to>
      <xdr:col>4</xdr:col>
      <xdr:colOff>75407</xdr:colOff>
      <xdr:row>45</xdr:row>
      <xdr:rowOff>58922</xdr:rowOff>
    </xdr:to>
    <xdr:sp macro="" textlink="">
      <xdr:nvSpPr>
        <xdr:cNvPr id="75" name="Flowchart: Connector 74">
          <a:extLst>
            <a:ext uri="{FF2B5EF4-FFF2-40B4-BE49-F238E27FC236}">
              <a16:creationId xmlns:a16="http://schemas.microsoft.com/office/drawing/2014/main" id="{B5EC8DE3-CCBF-4C53-9337-0792C7524735}"/>
            </a:ext>
          </a:extLst>
        </xdr:cNvPr>
        <xdr:cNvSpPr/>
      </xdr:nvSpPr>
      <xdr:spPr>
        <a:xfrm>
          <a:off x="2637153" y="7239010"/>
          <a:ext cx="272522" cy="25870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900" b="1"/>
            <a:t>4</a:t>
          </a:r>
        </a:p>
      </xdr:txBody>
    </xdr:sp>
    <xdr:clientData/>
  </xdr:twoCellAnchor>
  <xdr:twoCellAnchor>
    <xdr:from>
      <xdr:col>3</xdr:col>
      <xdr:colOff>574176</xdr:colOff>
      <xdr:row>45</xdr:row>
      <xdr:rowOff>123798</xdr:rowOff>
    </xdr:from>
    <xdr:to>
      <xdr:col>4</xdr:col>
      <xdr:colOff>75406</xdr:colOff>
      <xdr:row>47</xdr:row>
      <xdr:rowOff>57259</xdr:rowOff>
    </xdr:to>
    <xdr:sp macro="" textlink="">
      <xdr:nvSpPr>
        <xdr:cNvPr id="76" name="Flowchart: Connector 75">
          <a:extLst>
            <a:ext uri="{FF2B5EF4-FFF2-40B4-BE49-F238E27FC236}">
              <a16:creationId xmlns:a16="http://schemas.microsoft.com/office/drawing/2014/main" id="{B67D5DD7-5EED-42BB-95C3-5DA43E9DC523}"/>
            </a:ext>
          </a:extLst>
        </xdr:cNvPr>
        <xdr:cNvSpPr/>
      </xdr:nvSpPr>
      <xdr:spPr>
        <a:xfrm>
          <a:off x="2633957" y="7493767"/>
          <a:ext cx="275137" cy="25493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900" b="1"/>
            <a:t>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U146"/>
  <sheetViews>
    <sheetView topLeftCell="A26" zoomScale="110" zoomScaleNormal="110" workbookViewId="0">
      <selection activeCell="Q45" sqref="Q45"/>
    </sheetView>
  </sheetViews>
  <sheetFormatPr defaultColWidth="12.5703125" defaultRowHeight="15.75" customHeight="1" x14ac:dyDescent="0.2"/>
  <cols>
    <col min="1" max="1" width="2.85546875" customWidth="1"/>
    <col min="6" max="6" width="20.42578125" customWidth="1"/>
  </cols>
  <sheetData>
    <row r="2" spans="2:21" ht="15.75" customHeight="1" x14ac:dyDescent="0.25">
      <c r="B2" s="82" t="s">
        <v>0</v>
      </c>
      <c r="C2" s="80"/>
      <c r="D2" s="80"/>
      <c r="E2" s="80"/>
      <c r="F2" s="80"/>
      <c r="G2" s="80"/>
      <c r="H2" s="80"/>
      <c r="I2" s="81"/>
      <c r="K2" s="82" t="s">
        <v>1</v>
      </c>
      <c r="L2" s="80"/>
      <c r="M2" s="80"/>
      <c r="N2" s="80"/>
      <c r="O2" s="81"/>
      <c r="P2" s="1"/>
      <c r="Q2" s="82" t="s">
        <v>1</v>
      </c>
      <c r="R2" s="80"/>
      <c r="S2" s="80"/>
      <c r="T2" s="80"/>
      <c r="U2" s="81"/>
    </row>
    <row r="3" spans="2:21" ht="12.75" x14ac:dyDescent="0.2">
      <c r="B3" s="87" t="s">
        <v>2</v>
      </c>
      <c r="C3" s="88"/>
      <c r="D3" s="92" t="s">
        <v>3</v>
      </c>
      <c r="E3" s="93"/>
      <c r="F3" s="88"/>
      <c r="G3" s="83"/>
      <c r="H3" s="80"/>
      <c r="I3" s="81"/>
      <c r="K3" s="2" t="s">
        <v>4</v>
      </c>
      <c r="L3" s="3"/>
      <c r="M3" s="3"/>
      <c r="N3" s="3"/>
      <c r="O3" s="4"/>
      <c r="Q3" s="45" t="s">
        <v>188</v>
      </c>
      <c r="U3" s="5"/>
    </row>
    <row r="4" spans="2:21" ht="12.75" x14ac:dyDescent="0.2">
      <c r="B4" s="89"/>
      <c r="C4" s="86"/>
      <c r="D4" s="89"/>
      <c r="E4" s="85"/>
      <c r="F4" s="86"/>
      <c r="G4" s="83"/>
      <c r="H4" s="80"/>
      <c r="I4" s="81"/>
      <c r="K4" s="6" t="s">
        <v>5</v>
      </c>
      <c r="O4" s="7"/>
      <c r="Q4" s="46" t="s">
        <v>189</v>
      </c>
    </row>
    <row r="5" spans="2:21" ht="12.75" x14ac:dyDescent="0.2">
      <c r="B5" s="89"/>
      <c r="C5" s="86"/>
      <c r="D5" s="89"/>
      <c r="E5" s="85"/>
      <c r="F5" s="86"/>
      <c r="G5" s="83"/>
      <c r="H5" s="80"/>
      <c r="I5" s="81"/>
      <c r="K5" s="6"/>
      <c r="O5" s="7"/>
      <c r="Q5" s="46" t="s">
        <v>190</v>
      </c>
    </row>
    <row r="6" spans="2:21" ht="12.75" x14ac:dyDescent="0.2">
      <c r="B6" s="90"/>
      <c r="C6" s="91"/>
      <c r="D6" s="90"/>
      <c r="E6" s="94"/>
      <c r="F6" s="91"/>
      <c r="G6" s="83"/>
      <c r="H6" s="80"/>
      <c r="I6" s="81"/>
      <c r="K6" s="6" t="s">
        <v>6</v>
      </c>
      <c r="O6" s="7"/>
      <c r="Q6" s="46" t="s">
        <v>192</v>
      </c>
      <c r="T6" s="8"/>
      <c r="U6" s="5"/>
    </row>
    <row r="7" spans="2:21" ht="12.75" x14ac:dyDescent="0.2">
      <c r="B7" s="87" t="s">
        <v>7</v>
      </c>
      <c r="C7" s="88"/>
      <c r="D7" s="92" t="s">
        <v>8</v>
      </c>
      <c r="E7" s="93"/>
      <c r="F7" s="88"/>
      <c r="G7" s="83"/>
      <c r="H7" s="80"/>
      <c r="I7" s="81"/>
      <c r="K7" s="6" t="s">
        <v>9</v>
      </c>
      <c r="O7" s="7"/>
      <c r="Q7" s="46" t="s">
        <v>191</v>
      </c>
    </row>
    <row r="8" spans="2:21" ht="12.75" x14ac:dyDescent="0.2">
      <c r="B8" s="89"/>
      <c r="C8" s="86"/>
      <c r="D8" s="89"/>
      <c r="E8" s="85"/>
      <c r="F8" s="86"/>
      <c r="G8" s="83"/>
      <c r="H8" s="80"/>
      <c r="I8" s="81"/>
      <c r="K8" s="6" t="s">
        <v>10</v>
      </c>
      <c r="O8" s="7"/>
      <c r="Q8" s="46" t="s">
        <v>193</v>
      </c>
    </row>
    <row r="9" spans="2:21" ht="12.75" x14ac:dyDescent="0.2">
      <c r="B9" s="89"/>
      <c r="C9" s="86"/>
      <c r="D9" s="89"/>
      <c r="E9" s="85"/>
      <c r="F9" s="86"/>
      <c r="G9" s="83"/>
      <c r="H9" s="80"/>
      <c r="I9" s="81"/>
      <c r="K9" s="6" t="s">
        <v>11</v>
      </c>
      <c r="O9" s="7"/>
      <c r="Q9" s="46" t="s">
        <v>194</v>
      </c>
      <c r="U9" s="5"/>
    </row>
    <row r="10" spans="2:21" ht="12.75" x14ac:dyDescent="0.2">
      <c r="B10" s="90"/>
      <c r="C10" s="91"/>
      <c r="D10" s="90"/>
      <c r="E10" s="94"/>
      <c r="F10" s="91"/>
      <c r="G10" s="83"/>
      <c r="H10" s="80"/>
      <c r="I10" s="81"/>
      <c r="K10" s="6" t="s">
        <v>12</v>
      </c>
      <c r="O10" s="7"/>
      <c r="Q10" s="46" t="s">
        <v>195</v>
      </c>
    </row>
    <row r="11" spans="2:21" ht="12.75" x14ac:dyDescent="0.2">
      <c r="B11" s="87" t="s">
        <v>13</v>
      </c>
      <c r="C11" s="88"/>
      <c r="D11" s="92" t="s">
        <v>14</v>
      </c>
      <c r="E11" s="93"/>
      <c r="F11" s="88"/>
      <c r="G11" s="83"/>
      <c r="H11" s="80"/>
      <c r="I11" s="81"/>
      <c r="K11" s="6" t="s">
        <v>15</v>
      </c>
      <c r="O11" s="7"/>
      <c r="Q11" s="46" t="s">
        <v>196</v>
      </c>
    </row>
    <row r="12" spans="2:21" ht="12.75" x14ac:dyDescent="0.2">
      <c r="B12" s="89"/>
      <c r="C12" s="86"/>
      <c r="D12" s="89"/>
      <c r="E12" s="85"/>
      <c r="F12" s="86"/>
      <c r="G12" s="83"/>
      <c r="H12" s="80"/>
      <c r="I12" s="81"/>
      <c r="K12" s="6"/>
      <c r="O12" s="7"/>
      <c r="Q12" s="5"/>
      <c r="U12" s="5"/>
    </row>
    <row r="13" spans="2:21" ht="12.75" x14ac:dyDescent="0.2">
      <c r="B13" s="89"/>
      <c r="C13" s="86"/>
      <c r="D13" s="89"/>
      <c r="E13" s="85"/>
      <c r="F13" s="86"/>
      <c r="G13" s="83"/>
      <c r="H13" s="80"/>
      <c r="I13" s="81"/>
      <c r="K13" s="6" t="s">
        <v>16</v>
      </c>
      <c r="O13" s="7"/>
      <c r="Q13" s="46" t="s">
        <v>213</v>
      </c>
    </row>
    <row r="14" spans="2:21" ht="12.75" x14ac:dyDescent="0.2">
      <c r="B14" s="90"/>
      <c r="C14" s="91"/>
      <c r="D14" s="90"/>
      <c r="E14" s="94"/>
      <c r="F14" s="91"/>
      <c r="G14" s="83"/>
      <c r="H14" s="80"/>
      <c r="I14" s="81"/>
      <c r="K14" s="6" t="s">
        <v>17</v>
      </c>
      <c r="O14" s="7"/>
      <c r="Q14" s="8"/>
    </row>
    <row r="15" spans="2:21" ht="12.75" x14ac:dyDescent="0.2">
      <c r="B15" s="87" t="s">
        <v>18</v>
      </c>
      <c r="C15" s="88"/>
      <c r="D15" s="92" t="s">
        <v>19</v>
      </c>
      <c r="E15" s="93"/>
      <c r="F15" s="88"/>
      <c r="G15" s="83"/>
      <c r="H15" s="80"/>
      <c r="I15" s="81"/>
      <c r="K15" s="6" t="s">
        <v>20</v>
      </c>
      <c r="O15" s="7"/>
      <c r="Q15" s="5"/>
      <c r="U15" s="5"/>
    </row>
    <row r="16" spans="2:21" ht="12.75" x14ac:dyDescent="0.2">
      <c r="B16" s="89"/>
      <c r="C16" s="86"/>
      <c r="D16" s="89"/>
      <c r="E16" s="85"/>
      <c r="F16" s="86"/>
      <c r="G16" s="83"/>
      <c r="H16" s="80"/>
      <c r="I16" s="81"/>
      <c r="K16" s="6" t="s">
        <v>21</v>
      </c>
      <c r="O16" s="7"/>
      <c r="Q16" s="8"/>
    </row>
    <row r="17" spans="2:17" ht="12.75" x14ac:dyDescent="0.2">
      <c r="B17" s="89"/>
      <c r="C17" s="86"/>
      <c r="D17" s="89"/>
      <c r="E17" s="85"/>
      <c r="F17" s="86"/>
      <c r="G17" s="83"/>
      <c r="H17" s="80"/>
      <c r="I17" s="81"/>
      <c r="K17" s="6" t="s">
        <v>22</v>
      </c>
      <c r="O17" s="7"/>
      <c r="Q17" s="8"/>
    </row>
    <row r="18" spans="2:17" ht="12.75" x14ac:dyDescent="0.2">
      <c r="B18" s="90"/>
      <c r="C18" s="91"/>
      <c r="D18" s="90"/>
      <c r="E18" s="94"/>
      <c r="F18" s="91"/>
      <c r="G18" s="83"/>
      <c r="H18" s="80"/>
      <c r="I18" s="81"/>
      <c r="K18" s="6"/>
      <c r="O18" s="7"/>
    </row>
    <row r="19" spans="2:17" ht="12.75" x14ac:dyDescent="0.2">
      <c r="B19" s="87" t="s">
        <v>23</v>
      </c>
      <c r="C19" s="88"/>
      <c r="D19" s="92" t="s">
        <v>24</v>
      </c>
      <c r="E19" s="93"/>
      <c r="F19" s="88"/>
      <c r="G19" s="83"/>
      <c r="H19" s="80"/>
      <c r="I19" s="81"/>
      <c r="K19" s="6" t="s">
        <v>25</v>
      </c>
      <c r="O19" s="7"/>
      <c r="Q19" s="8"/>
    </row>
    <row r="20" spans="2:17" ht="12.75" x14ac:dyDescent="0.2">
      <c r="B20" s="89"/>
      <c r="C20" s="86"/>
      <c r="D20" s="89"/>
      <c r="E20" s="85"/>
      <c r="F20" s="86"/>
      <c r="G20" s="83"/>
      <c r="H20" s="80"/>
      <c r="I20" s="81"/>
      <c r="K20" s="6" t="s">
        <v>26</v>
      </c>
      <c r="O20" s="7"/>
      <c r="Q20" s="8"/>
    </row>
    <row r="21" spans="2:17" ht="12.75" x14ac:dyDescent="0.2">
      <c r="B21" s="89"/>
      <c r="C21" s="86"/>
      <c r="D21" s="89"/>
      <c r="E21" s="85"/>
      <c r="F21" s="86"/>
      <c r="G21" s="83"/>
      <c r="H21" s="80"/>
      <c r="I21" s="81"/>
      <c r="K21" s="6" t="s">
        <v>27</v>
      </c>
      <c r="O21" s="7"/>
      <c r="Q21" s="8"/>
    </row>
    <row r="22" spans="2:17" ht="12.75" x14ac:dyDescent="0.2">
      <c r="B22" s="90"/>
      <c r="C22" s="91"/>
      <c r="D22" s="90"/>
      <c r="E22" s="94"/>
      <c r="F22" s="91"/>
      <c r="G22" s="83"/>
      <c r="H22" s="80"/>
      <c r="I22" s="81"/>
      <c r="K22" s="6" t="s">
        <v>28</v>
      </c>
      <c r="O22" s="7"/>
      <c r="Q22" s="8"/>
    </row>
    <row r="23" spans="2:17" ht="12.75" x14ac:dyDescent="0.2">
      <c r="B23" s="87" t="s">
        <v>29</v>
      </c>
      <c r="C23" s="88"/>
      <c r="D23" s="92" t="s">
        <v>30</v>
      </c>
      <c r="E23" s="93"/>
      <c r="F23" s="88"/>
      <c r="G23" s="83"/>
      <c r="H23" s="80"/>
      <c r="I23" s="81"/>
      <c r="K23" s="84" t="s">
        <v>31</v>
      </c>
      <c r="L23" s="85"/>
      <c r="M23" s="85"/>
      <c r="N23" s="85"/>
      <c r="O23" s="86"/>
      <c r="Q23" s="8"/>
    </row>
    <row r="24" spans="2:17" ht="12.75" x14ac:dyDescent="0.2">
      <c r="B24" s="89"/>
      <c r="C24" s="86"/>
      <c r="D24" s="89"/>
      <c r="E24" s="85"/>
      <c r="F24" s="86"/>
      <c r="G24" s="83"/>
      <c r="H24" s="80"/>
      <c r="I24" s="81"/>
      <c r="K24" s="6"/>
      <c r="O24" s="7"/>
      <c r="Q24" s="8"/>
    </row>
    <row r="25" spans="2:17" ht="12.75" x14ac:dyDescent="0.2">
      <c r="B25" s="89"/>
      <c r="C25" s="86"/>
      <c r="D25" s="89"/>
      <c r="E25" s="85"/>
      <c r="F25" s="86"/>
      <c r="G25" s="83"/>
      <c r="H25" s="80"/>
      <c r="I25" s="81"/>
      <c r="K25" s="6" t="s">
        <v>32</v>
      </c>
      <c r="O25" s="7"/>
    </row>
    <row r="26" spans="2:17" ht="12.75" x14ac:dyDescent="0.2">
      <c r="B26" s="90"/>
      <c r="C26" s="91"/>
      <c r="D26" s="90"/>
      <c r="E26" s="94"/>
      <c r="F26" s="91"/>
      <c r="G26" s="83"/>
      <c r="H26" s="80"/>
      <c r="I26" s="81"/>
      <c r="K26" s="9" t="s">
        <v>33</v>
      </c>
      <c r="L26" s="10"/>
      <c r="M26" s="10"/>
      <c r="N26" s="10"/>
      <c r="O26" s="11"/>
      <c r="Q26" s="8"/>
    </row>
    <row r="27" spans="2:17" ht="12.75" x14ac:dyDescent="0.2">
      <c r="B27" s="87" t="s">
        <v>34</v>
      </c>
      <c r="C27" s="88"/>
      <c r="D27" s="92" t="s">
        <v>35</v>
      </c>
      <c r="E27" s="93"/>
      <c r="F27" s="88"/>
      <c r="G27" s="83"/>
      <c r="H27" s="80"/>
      <c r="I27" s="81"/>
      <c r="K27" s="9" t="s">
        <v>36</v>
      </c>
      <c r="L27" s="10"/>
      <c r="M27" s="10"/>
      <c r="N27" s="10"/>
      <c r="O27" s="11"/>
      <c r="Q27" s="8"/>
    </row>
    <row r="28" spans="2:17" ht="12.75" x14ac:dyDescent="0.2">
      <c r="B28" s="89"/>
      <c r="C28" s="86"/>
      <c r="D28" s="89"/>
      <c r="E28" s="85"/>
      <c r="F28" s="86"/>
      <c r="G28" s="83"/>
      <c r="H28" s="80"/>
      <c r="I28" s="81"/>
      <c r="K28" s="9" t="s">
        <v>37</v>
      </c>
      <c r="L28" s="10"/>
      <c r="M28" s="10"/>
      <c r="N28" s="10"/>
      <c r="O28" s="11"/>
      <c r="Q28" s="8"/>
    </row>
    <row r="29" spans="2:17" ht="12.75" x14ac:dyDescent="0.2">
      <c r="B29" s="89"/>
      <c r="C29" s="86"/>
      <c r="D29" s="89"/>
      <c r="E29" s="85"/>
      <c r="F29" s="86"/>
      <c r="G29" s="83"/>
      <c r="H29" s="80"/>
      <c r="I29" s="81"/>
      <c r="K29" s="9" t="s">
        <v>38</v>
      </c>
      <c r="L29" s="10"/>
      <c r="M29" s="10"/>
      <c r="N29" s="10"/>
      <c r="O29" s="11"/>
      <c r="Q29" s="8"/>
    </row>
    <row r="30" spans="2:17" ht="12.75" x14ac:dyDescent="0.2">
      <c r="B30" s="90"/>
      <c r="C30" s="91"/>
      <c r="D30" s="90"/>
      <c r="E30" s="94"/>
      <c r="F30" s="91"/>
      <c r="G30" s="83"/>
      <c r="H30" s="80"/>
      <c r="I30" s="81"/>
      <c r="K30" s="6"/>
      <c r="O30" s="7"/>
      <c r="Q30" s="8"/>
    </row>
    <row r="31" spans="2:17" ht="12.75" x14ac:dyDescent="0.2">
      <c r="B31" s="87" t="s">
        <v>39</v>
      </c>
      <c r="C31" s="88"/>
      <c r="D31" s="79" t="s">
        <v>40</v>
      </c>
      <c r="E31" s="80"/>
      <c r="F31" s="81"/>
      <c r="G31" s="83" t="s">
        <v>41</v>
      </c>
      <c r="H31" s="80"/>
      <c r="I31" s="81"/>
      <c r="K31" s="6"/>
      <c r="O31" s="7"/>
      <c r="Q31" s="8"/>
    </row>
    <row r="32" spans="2:17" ht="12.75" x14ac:dyDescent="0.2">
      <c r="B32" s="89"/>
      <c r="C32" s="86"/>
      <c r="D32" s="79" t="s">
        <v>42</v>
      </c>
      <c r="E32" s="80"/>
      <c r="F32" s="81"/>
      <c r="G32" s="83" t="s">
        <v>43</v>
      </c>
      <c r="H32" s="80"/>
      <c r="I32" s="81"/>
      <c r="K32" s="8" t="s">
        <v>58</v>
      </c>
      <c r="O32" s="7"/>
    </row>
    <row r="33" spans="2:17" ht="15" x14ac:dyDescent="0.25">
      <c r="B33" s="89"/>
      <c r="C33" s="86"/>
      <c r="D33" s="79" t="s">
        <v>44</v>
      </c>
      <c r="E33" s="80"/>
      <c r="F33" s="81"/>
      <c r="G33" s="83" t="s">
        <v>45</v>
      </c>
      <c r="H33" s="80"/>
      <c r="I33" s="81"/>
      <c r="K33" s="12" t="s">
        <v>59</v>
      </c>
      <c r="L33" s="13" t="s">
        <v>60</v>
      </c>
      <c r="M33" s="14"/>
      <c r="Q33" s="8"/>
    </row>
    <row r="34" spans="2:17" ht="12.75" x14ac:dyDescent="0.2">
      <c r="B34" s="89"/>
      <c r="C34" s="86"/>
      <c r="D34" s="79" t="s">
        <v>47</v>
      </c>
      <c r="E34" s="80"/>
      <c r="F34" s="81"/>
      <c r="G34" s="83"/>
      <c r="H34" s="80"/>
      <c r="I34" s="81"/>
      <c r="K34" s="15" t="s">
        <v>61</v>
      </c>
      <c r="L34" s="16">
        <v>80</v>
      </c>
      <c r="M34" s="14"/>
      <c r="Q34" s="8"/>
    </row>
    <row r="35" spans="2:17" ht="12.75" x14ac:dyDescent="0.2">
      <c r="B35" s="89"/>
      <c r="C35" s="86"/>
      <c r="D35" s="79" t="s">
        <v>49</v>
      </c>
      <c r="E35" s="80"/>
      <c r="F35" s="81"/>
      <c r="G35" s="83"/>
      <c r="H35" s="80"/>
      <c r="I35" s="81"/>
      <c r="K35" s="15" t="s">
        <v>63</v>
      </c>
      <c r="L35" s="16">
        <v>900</v>
      </c>
      <c r="M35" s="14"/>
      <c r="Q35" s="8"/>
    </row>
    <row r="36" spans="2:17" ht="12.75" x14ac:dyDescent="0.2">
      <c r="B36" s="89"/>
      <c r="C36" s="86"/>
      <c r="D36" s="79" t="s">
        <v>50</v>
      </c>
      <c r="E36" s="80"/>
      <c r="F36" s="81"/>
      <c r="G36" s="83"/>
      <c r="H36" s="80"/>
      <c r="I36" s="81"/>
      <c r="K36" s="15" t="s">
        <v>65</v>
      </c>
      <c r="L36" s="16">
        <v>60</v>
      </c>
      <c r="M36" s="14"/>
      <c r="Q36" s="8"/>
    </row>
    <row r="37" spans="2:17" ht="12.75" x14ac:dyDescent="0.2">
      <c r="B37" s="90"/>
      <c r="C37" s="91"/>
      <c r="D37" s="79" t="s">
        <v>51</v>
      </c>
      <c r="E37" s="80"/>
      <c r="F37" s="81"/>
      <c r="G37" s="83"/>
      <c r="H37" s="80"/>
      <c r="I37" s="81"/>
      <c r="K37" s="18" t="s">
        <v>66</v>
      </c>
      <c r="L37" s="19">
        <f ca="1">((2 * (L34^2) + L34) / (L34 + (L36^0.85))) + (LN(L35) * ((RAND() * 2.1 - 0.1)))</f>
        <v>124.82016574515823</v>
      </c>
      <c r="M37" s="14"/>
      <c r="Q37" s="8"/>
    </row>
    <row r="38" spans="2:17" ht="12.75" x14ac:dyDescent="0.2">
      <c r="L38" s="8" t="s">
        <v>67</v>
      </c>
      <c r="Q38" s="8"/>
    </row>
    <row r="39" spans="2:17" ht="12.75" x14ac:dyDescent="0.2">
      <c r="K39" s="14"/>
    </row>
    <row r="40" spans="2:17" x14ac:dyDescent="0.25">
      <c r="B40" s="82" t="s">
        <v>54</v>
      </c>
      <c r="C40" s="80"/>
      <c r="D40" s="80"/>
      <c r="E40" s="80"/>
      <c r="F40" s="80"/>
      <c r="G40" s="80"/>
      <c r="H40" s="80"/>
      <c r="I40" s="81"/>
      <c r="K40" s="8" t="s">
        <v>427</v>
      </c>
      <c r="Q40" s="8"/>
    </row>
    <row r="41" spans="2:17" ht="12.75" x14ac:dyDescent="0.2">
      <c r="B41" s="8" t="s">
        <v>55</v>
      </c>
      <c r="K41" s="8" t="s">
        <v>429</v>
      </c>
      <c r="Q41" s="8"/>
    </row>
    <row r="42" spans="2:17" ht="12.75" x14ac:dyDescent="0.2">
      <c r="B42" s="8" t="s">
        <v>56</v>
      </c>
      <c r="K42" s="8" t="s">
        <v>428</v>
      </c>
      <c r="Q42" s="8"/>
    </row>
    <row r="43" spans="2:17" ht="12.75" x14ac:dyDescent="0.2">
      <c r="B43" s="8" t="s">
        <v>57</v>
      </c>
      <c r="K43" s="8"/>
      <c r="Q43" s="8"/>
    </row>
    <row r="44" spans="2:17" ht="12.75" x14ac:dyDescent="0.2">
      <c r="B44" s="8"/>
      <c r="K44" s="8"/>
      <c r="Q44" s="8"/>
    </row>
    <row r="45" spans="2:17" ht="12.75" x14ac:dyDescent="0.2">
      <c r="B45" s="8"/>
      <c r="Q45" s="8"/>
    </row>
    <row r="46" spans="2:17" ht="12.75" x14ac:dyDescent="0.2">
      <c r="B46" s="8" t="s">
        <v>62</v>
      </c>
    </row>
    <row r="47" spans="2:17" ht="15" x14ac:dyDescent="0.2">
      <c r="B47" s="8" t="s">
        <v>64</v>
      </c>
      <c r="I47" s="17"/>
      <c r="Q47" s="8"/>
    </row>
    <row r="48" spans="2:17" ht="15" x14ac:dyDescent="0.2">
      <c r="I48" s="17"/>
      <c r="Q48" s="8"/>
    </row>
    <row r="49" spans="9:20" ht="15" x14ac:dyDescent="0.2">
      <c r="I49" s="17"/>
      <c r="Q49" s="8"/>
    </row>
    <row r="50" spans="9:20" ht="15" x14ac:dyDescent="0.2">
      <c r="I50" s="17"/>
      <c r="Q50" s="8"/>
    </row>
    <row r="51" spans="9:20" ht="15" x14ac:dyDescent="0.2">
      <c r="I51" s="17"/>
      <c r="K51" s="8"/>
      <c r="L51" s="20"/>
      <c r="M51" s="8"/>
      <c r="Q51" s="8"/>
    </row>
    <row r="52" spans="9:20" ht="15" x14ac:dyDescent="0.2">
      <c r="I52" s="17"/>
      <c r="K52" s="8"/>
      <c r="L52" s="8"/>
      <c r="Q52" s="8"/>
    </row>
    <row r="53" spans="9:20" ht="15" x14ac:dyDescent="0.2">
      <c r="I53" s="17"/>
      <c r="K53" s="8"/>
      <c r="L53" s="20"/>
      <c r="M53" s="8"/>
    </row>
    <row r="54" spans="9:20" ht="15" x14ac:dyDescent="0.2">
      <c r="I54" s="17"/>
      <c r="Q54" s="8"/>
    </row>
    <row r="55" spans="9:20" ht="15" x14ac:dyDescent="0.2">
      <c r="I55" s="17"/>
      <c r="Q55" s="8"/>
    </row>
    <row r="56" spans="9:20" ht="15" x14ac:dyDescent="0.2">
      <c r="I56" s="17"/>
      <c r="Q56" s="8"/>
    </row>
    <row r="57" spans="9:20" ht="15" x14ac:dyDescent="0.2">
      <c r="I57" s="17"/>
      <c r="Q57" s="8"/>
    </row>
    <row r="58" spans="9:20" ht="15" x14ac:dyDescent="0.2">
      <c r="I58" s="17"/>
      <c r="Q58" s="8"/>
    </row>
    <row r="59" spans="9:20" ht="15" x14ac:dyDescent="0.2">
      <c r="I59" s="17"/>
    </row>
    <row r="60" spans="9:20" ht="15" x14ac:dyDescent="0.2">
      <c r="I60" s="17"/>
      <c r="Q60" s="8"/>
      <c r="S60" s="8"/>
    </row>
    <row r="61" spans="9:20" ht="15" x14ac:dyDescent="0.2">
      <c r="I61" s="17"/>
      <c r="Q61" s="8"/>
    </row>
    <row r="62" spans="9:20" ht="15" x14ac:dyDescent="0.2">
      <c r="I62" s="17"/>
    </row>
    <row r="63" spans="9:20" ht="15" x14ac:dyDescent="0.2">
      <c r="I63" s="17"/>
    </row>
    <row r="64" spans="9:20" ht="15" x14ac:dyDescent="0.2">
      <c r="I64" s="17"/>
      <c r="T64" s="8"/>
    </row>
    <row r="65" spans="9:19" ht="15" x14ac:dyDescent="0.2">
      <c r="I65" s="17"/>
    </row>
    <row r="66" spans="9:19" ht="15" x14ac:dyDescent="0.2">
      <c r="I66" s="17"/>
    </row>
    <row r="67" spans="9:19" ht="15" x14ac:dyDescent="0.2">
      <c r="I67" s="17"/>
    </row>
    <row r="68" spans="9:19" ht="15" x14ac:dyDescent="0.2">
      <c r="I68" s="17"/>
    </row>
    <row r="69" spans="9:19" ht="15" x14ac:dyDescent="0.2">
      <c r="I69" s="17"/>
    </row>
    <row r="70" spans="9:19" ht="15" x14ac:dyDescent="0.2">
      <c r="I70" s="17"/>
      <c r="S70" s="8"/>
    </row>
    <row r="71" spans="9:19" ht="15" x14ac:dyDescent="0.2">
      <c r="I71" s="17"/>
    </row>
    <row r="72" spans="9:19" ht="15" x14ac:dyDescent="0.2">
      <c r="I72" s="17"/>
    </row>
    <row r="73" spans="9:19" ht="15" x14ac:dyDescent="0.2">
      <c r="I73" s="17"/>
    </row>
    <row r="74" spans="9:19" ht="15" x14ac:dyDescent="0.2">
      <c r="I74" s="17"/>
    </row>
    <row r="75" spans="9:19" ht="15" x14ac:dyDescent="0.2">
      <c r="I75" s="17"/>
    </row>
    <row r="76" spans="9:19" ht="15" x14ac:dyDescent="0.2">
      <c r="I76" s="17"/>
    </row>
    <row r="77" spans="9:19" ht="15" x14ac:dyDescent="0.2">
      <c r="I77" s="17"/>
    </row>
    <row r="78" spans="9:19" ht="15" x14ac:dyDescent="0.2">
      <c r="I78" s="17"/>
    </row>
    <row r="79" spans="9:19" ht="15" x14ac:dyDescent="0.2">
      <c r="I79" s="17"/>
    </row>
    <row r="80" spans="9:19" ht="15" x14ac:dyDescent="0.2">
      <c r="I80" s="17"/>
    </row>
    <row r="81" spans="9:9" ht="15" x14ac:dyDescent="0.2">
      <c r="I81" s="17"/>
    </row>
    <row r="82" spans="9:9" ht="15" x14ac:dyDescent="0.2">
      <c r="I82" s="17"/>
    </row>
    <row r="83" spans="9:9" ht="15" x14ac:dyDescent="0.2">
      <c r="I83" s="17"/>
    </row>
    <row r="84" spans="9:9" ht="15" x14ac:dyDescent="0.2">
      <c r="I84" s="17"/>
    </row>
    <row r="85" spans="9:9" ht="15" x14ac:dyDescent="0.2">
      <c r="I85" s="17"/>
    </row>
    <row r="86" spans="9:9" ht="15" x14ac:dyDescent="0.2">
      <c r="I86" s="17"/>
    </row>
    <row r="87" spans="9:9" ht="15" x14ac:dyDescent="0.2">
      <c r="I87" s="17"/>
    </row>
    <row r="88" spans="9:9" ht="15" x14ac:dyDescent="0.2">
      <c r="I88" s="17"/>
    </row>
    <row r="89" spans="9:9" ht="15" x14ac:dyDescent="0.2">
      <c r="I89" s="17"/>
    </row>
    <row r="90" spans="9:9" ht="15" x14ac:dyDescent="0.2">
      <c r="I90" s="17"/>
    </row>
    <row r="91" spans="9:9" ht="15" x14ac:dyDescent="0.2">
      <c r="I91" s="17"/>
    </row>
    <row r="92" spans="9:9" ht="15" x14ac:dyDescent="0.2">
      <c r="I92" s="17"/>
    </row>
    <row r="93" spans="9:9" ht="15" x14ac:dyDescent="0.2">
      <c r="I93" s="17"/>
    </row>
    <row r="94" spans="9:9" ht="15" x14ac:dyDescent="0.2">
      <c r="I94" s="17"/>
    </row>
    <row r="95" spans="9:9" ht="15" x14ac:dyDescent="0.2">
      <c r="I95" s="17"/>
    </row>
    <row r="96" spans="9:9" ht="15" x14ac:dyDescent="0.2">
      <c r="I96" s="17"/>
    </row>
    <row r="97" spans="9:9" ht="15" x14ac:dyDescent="0.2">
      <c r="I97" s="17"/>
    </row>
    <row r="98" spans="9:9" ht="15" x14ac:dyDescent="0.2">
      <c r="I98" s="17"/>
    </row>
    <row r="99" spans="9:9" ht="15" x14ac:dyDescent="0.2">
      <c r="I99" s="17"/>
    </row>
    <row r="100" spans="9:9" ht="15" x14ac:dyDescent="0.2">
      <c r="I100" s="17"/>
    </row>
    <row r="101" spans="9:9" ht="15" x14ac:dyDescent="0.2">
      <c r="I101" s="17"/>
    </row>
    <row r="102" spans="9:9" ht="15" x14ac:dyDescent="0.2">
      <c r="I102" s="17"/>
    </row>
    <row r="103" spans="9:9" ht="15" x14ac:dyDescent="0.2">
      <c r="I103" s="17"/>
    </row>
    <row r="104" spans="9:9" ht="15" x14ac:dyDescent="0.2">
      <c r="I104" s="17"/>
    </row>
    <row r="105" spans="9:9" ht="15" x14ac:dyDescent="0.2">
      <c r="I105" s="17"/>
    </row>
    <row r="106" spans="9:9" ht="15" x14ac:dyDescent="0.2">
      <c r="I106" s="17"/>
    </row>
    <row r="107" spans="9:9" ht="15" x14ac:dyDescent="0.2">
      <c r="I107" s="17"/>
    </row>
    <row r="108" spans="9:9" ht="15" x14ac:dyDescent="0.2">
      <c r="I108" s="17"/>
    </row>
    <row r="109" spans="9:9" ht="15" x14ac:dyDescent="0.2">
      <c r="I109" s="17"/>
    </row>
    <row r="110" spans="9:9" ht="15" x14ac:dyDescent="0.2">
      <c r="I110" s="17"/>
    </row>
    <row r="111" spans="9:9" ht="15" x14ac:dyDescent="0.2">
      <c r="I111" s="17"/>
    </row>
    <row r="112" spans="9:9" ht="15" x14ac:dyDescent="0.2">
      <c r="I112" s="17"/>
    </row>
    <row r="113" spans="9:9" ht="15" x14ac:dyDescent="0.2">
      <c r="I113" s="17"/>
    </row>
    <row r="114" spans="9:9" ht="15" x14ac:dyDescent="0.2">
      <c r="I114" s="17"/>
    </row>
    <row r="115" spans="9:9" ht="15" x14ac:dyDescent="0.2">
      <c r="I115" s="17"/>
    </row>
    <row r="116" spans="9:9" ht="15" x14ac:dyDescent="0.2">
      <c r="I116" s="17"/>
    </row>
    <row r="117" spans="9:9" ht="15" x14ac:dyDescent="0.2">
      <c r="I117" s="17"/>
    </row>
    <row r="118" spans="9:9" ht="15" x14ac:dyDescent="0.2">
      <c r="I118" s="17"/>
    </row>
    <row r="119" spans="9:9" ht="15" x14ac:dyDescent="0.2">
      <c r="I119" s="17"/>
    </row>
    <row r="120" spans="9:9" ht="15" x14ac:dyDescent="0.2">
      <c r="I120" s="17"/>
    </row>
    <row r="121" spans="9:9" ht="15" x14ac:dyDescent="0.2">
      <c r="I121" s="17"/>
    </row>
    <row r="122" spans="9:9" ht="15" x14ac:dyDescent="0.2">
      <c r="I122" s="17"/>
    </row>
    <row r="123" spans="9:9" ht="15" x14ac:dyDescent="0.2">
      <c r="I123" s="17"/>
    </row>
    <row r="124" spans="9:9" ht="15" x14ac:dyDescent="0.2">
      <c r="I124" s="17"/>
    </row>
    <row r="125" spans="9:9" ht="15" x14ac:dyDescent="0.2">
      <c r="I125" s="17"/>
    </row>
    <row r="126" spans="9:9" ht="15" x14ac:dyDescent="0.2">
      <c r="I126" s="17"/>
    </row>
    <row r="127" spans="9:9" ht="15" x14ac:dyDescent="0.2">
      <c r="I127" s="17"/>
    </row>
    <row r="128" spans="9:9" ht="15" x14ac:dyDescent="0.2">
      <c r="I128" s="17"/>
    </row>
    <row r="129" spans="9:9" ht="15" x14ac:dyDescent="0.2">
      <c r="I129" s="17"/>
    </row>
    <row r="130" spans="9:9" ht="15" x14ac:dyDescent="0.2">
      <c r="I130" s="17"/>
    </row>
    <row r="131" spans="9:9" ht="15" x14ac:dyDescent="0.2">
      <c r="I131" s="17"/>
    </row>
    <row r="132" spans="9:9" ht="15" x14ac:dyDescent="0.2">
      <c r="I132" s="17"/>
    </row>
    <row r="133" spans="9:9" ht="15" x14ac:dyDescent="0.2">
      <c r="I133" s="17"/>
    </row>
    <row r="134" spans="9:9" ht="15" x14ac:dyDescent="0.2">
      <c r="I134" s="17"/>
    </row>
    <row r="135" spans="9:9" ht="15" x14ac:dyDescent="0.2">
      <c r="I135" s="17"/>
    </row>
    <row r="136" spans="9:9" ht="15" x14ac:dyDescent="0.2">
      <c r="I136" s="17"/>
    </row>
    <row r="137" spans="9:9" ht="15" x14ac:dyDescent="0.2">
      <c r="I137" s="17"/>
    </row>
    <row r="138" spans="9:9" ht="15" x14ac:dyDescent="0.2">
      <c r="I138" s="17"/>
    </row>
    <row r="139" spans="9:9" ht="15" x14ac:dyDescent="0.2">
      <c r="I139" s="17"/>
    </row>
    <row r="140" spans="9:9" ht="15" x14ac:dyDescent="0.2">
      <c r="I140" s="17"/>
    </row>
    <row r="141" spans="9:9" ht="15" x14ac:dyDescent="0.2">
      <c r="I141" s="17"/>
    </row>
    <row r="142" spans="9:9" ht="15" x14ac:dyDescent="0.2">
      <c r="I142" s="17"/>
    </row>
    <row r="143" spans="9:9" ht="15" x14ac:dyDescent="0.2">
      <c r="I143" s="17"/>
    </row>
    <row r="144" spans="9:9" ht="15" x14ac:dyDescent="0.2">
      <c r="I144" s="17"/>
    </row>
    <row r="145" spans="9:9" ht="15" x14ac:dyDescent="0.2">
      <c r="I145" s="17"/>
    </row>
    <row r="146" spans="9:9" ht="15" x14ac:dyDescent="0.2">
      <c r="I146" s="17"/>
    </row>
  </sheetData>
  <mergeCells count="62">
    <mergeCell ref="G12:I12"/>
    <mergeCell ref="G13:I13"/>
    <mergeCell ref="G15:I15"/>
    <mergeCell ref="G16:I16"/>
    <mergeCell ref="G17:I17"/>
    <mergeCell ref="G18:I18"/>
    <mergeCell ref="G19:I19"/>
    <mergeCell ref="G20:I20"/>
    <mergeCell ref="G21:I21"/>
    <mergeCell ref="D33:F33"/>
    <mergeCell ref="D11:F14"/>
    <mergeCell ref="D15:F18"/>
    <mergeCell ref="D19:F22"/>
    <mergeCell ref="D23:F26"/>
    <mergeCell ref="D27:F30"/>
    <mergeCell ref="B2:I2"/>
    <mergeCell ref="K2:O2"/>
    <mergeCell ref="Q2:U2"/>
    <mergeCell ref="B3:C6"/>
    <mergeCell ref="D3:F6"/>
    <mergeCell ref="G3:I3"/>
    <mergeCell ref="G4:I4"/>
    <mergeCell ref="B7:C10"/>
    <mergeCell ref="B11:C14"/>
    <mergeCell ref="B15:C18"/>
    <mergeCell ref="B19:C22"/>
    <mergeCell ref="B23:C26"/>
    <mergeCell ref="B27:C30"/>
    <mergeCell ref="B31:C37"/>
    <mergeCell ref="G10:I10"/>
    <mergeCell ref="G11:I11"/>
    <mergeCell ref="G5:I5"/>
    <mergeCell ref="G6:I6"/>
    <mergeCell ref="D7:F10"/>
    <mergeCell ref="G7:I7"/>
    <mergeCell ref="G8:I8"/>
    <mergeCell ref="G9:I9"/>
    <mergeCell ref="G14:I14"/>
    <mergeCell ref="G22:I22"/>
    <mergeCell ref="G23:I23"/>
    <mergeCell ref="G28:I28"/>
    <mergeCell ref="G29:I29"/>
    <mergeCell ref="G30:I30"/>
    <mergeCell ref="K23:O23"/>
    <mergeCell ref="G24:I24"/>
    <mergeCell ref="G25:I25"/>
    <mergeCell ref="G26:I26"/>
    <mergeCell ref="G27:I27"/>
    <mergeCell ref="D36:F36"/>
    <mergeCell ref="D37:F37"/>
    <mergeCell ref="B40:I40"/>
    <mergeCell ref="G31:I31"/>
    <mergeCell ref="G32:I32"/>
    <mergeCell ref="G33:I33"/>
    <mergeCell ref="G34:I34"/>
    <mergeCell ref="D35:F35"/>
    <mergeCell ref="G35:I35"/>
    <mergeCell ref="G36:I36"/>
    <mergeCell ref="G37:I37"/>
    <mergeCell ref="D34:F34"/>
    <mergeCell ref="D31:F31"/>
    <mergeCell ref="D32:F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7EB0-8876-4618-94ED-84C772C7D05C}">
  <sheetPr>
    <tabColor theme="3" tint="0.499984740745262"/>
  </sheetPr>
  <dimension ref="B2:I25"/>
  <sheetViews>
    <sheetView zoomScale="115" zoomScaleNormal="115" workbookViewId="0">
      <selection activeCell="D33" sqref="D33"/>
    </sheetView>
  </sheetViews>
  <sheetFormatPr defaultRowHeight="12.75" x14ac:dyDescent="0.2"/>
  <cols>
    <col min="2" max="2" width="18.140625" customWidth="1"/>
    <col min="3" max="3" width="23.42578125" bestFit="1" customWidth="1"/>
    <col min="5" max="5" width="11.85546875" customWidth="1"/>
    <col min="6" max="8" width="17.140625" customWidth="1"/>
  </cols>
  <sheetData>
    <row r="2" spans="2:9" ht="15.75" x14ac:dyDescent="0.25">
      <c r="B2" s="62" t="s">
        <v>243</v>
      </c>
    </row>
    <row r="3" spans="2:9" x14ac:dyDescent="0.2">
      <c r="B3" s="95" t="s">
        <v>201</v>
      </c>
      <c r="C3" s="95" t="s">
        <v>225</v>
      </c>
      <c r="D3" s="95" t="s">
        <v>56</v>
      </c>
      <c r="E3" s="100" t="s">
        <v>232</v>
      </c>
      <c r="F3" s="100"/>
      <c r="G3" s="100"/>
      <c r="H3" s="100"/>
      <c r="I3" s="95" t="s">
        <v>93</v>
      </c>
    </row>
    <row r="4" spans="2:9" x14ac:dyDescent="0.2">
      <c r="B4" s="96"/>
      <c r="C4" s="96"/>
      <c r="D4" s="96"/>
      <c r="E4" s="63" t="s">
        <v>234</v>
      </c>
      <c r="F4" s="64" t="s">
        <v>92</v>
      </c>
      <c r="G4" s="64" t="s">
        <v>105</v>
      </c>
      <c r="H4" s="64" t="s">
        <v>254</v>
      </c>
      <c r="I4" s="96"/>
    </row>
    <row r="5" spans="2:9" x14ac:dyDescent="0.2">
      <c r="B5" s="97" t="s">
        <v>205</v>
      </c>
      <c r="C5" s="97" t="s">
        <v>224</v>
      </c>
      <c r="D5" s="97" t="s">
        <v>226</v>
      </c>
      <c r="E5" s="55">
        <v>1</v>
      </c>
      <c r="F5" s="55" t="s">
        <v>227</v>
      </c>
      <c r="G5" s="55" t="s">
        <v>106</v>
      </c>
      <c r="H5" s="55">
        <v>1</v>
      </c>
      <c r="I5" s="97" t="s">
        <v>233</v>
      </c>
    </row>
    <row r="6" spans="2:9" x14ac:dyDescent="0.2">
      <c r="B6" s="98"/>
      <c r="C6" s="98"/>
      <c r="D6" s="98"/>
      <c r="E6" s="55">
        <v>2</v>
      </c>
      <c r="F6" s="55" t="s">
        <v>90</v>
      </c>
      <c r="G6" s="55" t="s">
        <v>90</v>
      </c>
      <c r="H6" s="55" t="s">
        <v>90</v>
      </c>
      <c r="I6" s="98"/>
    </row>
    <row r="7" spans="2:9" x14ac:dyDescent="0.2">
      <c r="B7" s="98"/>
      <c r="C7" s="98"/>
      <c r="D7" s="99"/>
      <c r="E7" s="56">
        <v>3</v>
      </c>
      <c r="F7" s="55" t="s">
        <v>90</v>
      </c>
      <c r="G7" s="55" t="s">
        <v>90</v>
      </c>
      <c r="H7" s="55" t="s">
        <v>90</v>
      </c>
      <c r="I7" s="99"/>
    </row>
    <row r="8" spans="2:9" x14ac:dyDescent="0.2">
      <c r="B8" s="98"/>
      <c r="C8" s="98"/>
      <c r="D8" s="97" t="s">
        <v>237</v>
      </c>
      <c r="E8" s="55">
        <v>1</v>
      </c>
      <c r="F8" s="55"/>
      <c r="G8" s="55"/>
      <c r="H8" s="55"/>
      <c r="I8" s="97"/>
    </row>
    <row r="9" spans="2:9" x14ac:dyDescent="0.2">
      <c r="B9" s="98"/>
      <c r="C9" s="98"/>
      <c r="D9" s="98"/>
      <c r="E9" s="55">
        <v>2</v>
      </c>
      <c r="F9" s="55"/>
      <c r="G9" s="55"/>
      <c r="H9" s="55"/>
      <c r="I9" s="98"/>
    </row>
    <row r="10" spans="2:9" x14ac:dyDescent="0.2">
      <c r="B10" s="98"/>
      <c r="C10" s="98"/>
      <c r="D10" s="99"/>
      <c r="E10" s="56">
        <v>3</v>
      </c>
      <c r="F10" s="55"/>
      <c r="G10" s="55"/>
      <c r="H10" s="55"/>
      <c r="I10" s="99"/>
    </row>
    <row r="11" spans="2:9" x14ac:dyDescent="0.2">
      <c r="B11" s="98"/>
      <c r="C11" s="98"/>
      <c r="D11" s="97" t="s">
        <v>238</v>
      </c>
      <c r="E11" s="55">
        <v>1</v>
      </c>
      <c r="F11" s="55"/>
      <c r="G11" s="55"/>
      <c r="H11" s="55"/>
      <c r="I11" s="97"/>
    </row>
    <row r="12" spans="2:9" x14ac:dyDescent="0.2">
      <c r="B12" s="98"/>
      <c r="C12" s="98"/>
      <c r="D12" s="98"/>
      <c r="E12" s="55">
        <v>2</v>
      </c>
      <c r="F12" s="55"/>
      <c r="G12" s="55"/>
      <c r="H12" s="55"/>
      <c r="I12" s="98"/>
    </row>
    <row r="13" spans="2:9" x14ac:dyDescent="0.2">
      <c r="B13" s="98"/>
      <c r="C13" s="98"/>
      <c r="D13" s="99"/>
      <c r="E13" s="56">
        <v>3</v>
      </c>
      <c r="F13" s="55"/>
      <c r="G13" s="55"/>
      <c r="H13" s="55"/>
      <c r="I13" s="99"/>
    </row>
    <row r="14" spans="2:9" x14ac:dyDescent="0.2">
      <c r="B14" s="98"/>
      <c r="C14" s="98"/>
      <c r="D14" s="97" t="s">
        <v>239</v>
      </c>
      <c r="E14" s="55">
        <v>1</v>
      </c>
      <c r="F14" s="55"/>
      <c r="G14" s="55"/>
      <c r="H14" s="55"/>
      <c r="I14" s="97"/>
    </row>
    <row r="15" spans="2:9" x14ac:dyDescent="0.2">
      <c r="B15" s="98"/>
      <c r="C15" s="98"/>
      <c r="D15" s="98"/>
      <c r="E15" s="55">
        <v>2</v>
      </c>
      <c r="F15" s="55"/>
      <c r="G15" s="55"/>
      <c r="H15" s="55"/>
      <c r="I15" s="98"/>
    </row>
    <row r="16" spans="2:9" x14ac:dyDescent="0.2">
      <c r="B16" s="98"/>
      <c r="C16" s="98"/>
      <c r="D16" s="99"/>
      <c r="E16" s="56">
        <v>3</v>
      </c>
      <c r="F16" s="55"/>
      <c r="G16" s="55"/>
      <c r="H16" s="55"/>
      <c r="I16" s="99"/>
    </row>
    <row r="17" spans="2:9" x14ac:dyDescent="0.2">
      <c r="B17" s="98"/>
      <c r="C17" s="98"/>
      <c r="D17" s="97" t="s">
        <v>240</v>
      </c>
      <c r="E17" s="55">
        <v>1</v>
      </c>
      <c r="F17" s="55"/>
      <c r="G17" s="55"/>
      <c r="H17" s="55"/>
      <c r="I17" s="97"/>
    </row>
    <row r="18" spans="2:9" x14ac:dyDescent="0.2">
      <c r="B18" s="98"/>
      <c r="C18" s="98"/>
      <c r="D18" s="98"/>
      <c r="E18" s="55">
        <v>2</v>
      </c>
      <c r="F18" s="55"/>
      <c r="G18" s="55"/>
      <c r="H18" s="55"/>
      <c r="I18" s="98"/>
    </row>
    <row r="19" spans="2:9" x14ac:dyDescent="0.2">
      <c r="B19" s="98"/>
      <c r="C19" s="98"/>
      <c r="D19" s="99"/>
      <c r="E19" s="56">
        <v>3</v>
      </c>
      <c r="F19" s="55"/>
      <c r="G19" s="55"/>
      <c r="H19" s="55"/>
      <c r="I19" s="99"/>
    </row>
    <row r="20" spans="2:9" x14ac:dyDescent="0.2">
      <c r="B20" s="98"/>
      <c r="C20" s="98"/>
      <c r="D20" s="97" t="s">
        <v>241</v>
      </c>
      <c r="E20" s="55">
        <v>1</v>
      </c>
      <c r="F20" s="55"/>
      <c r="G20" s="55"/>
      <c r="H20" s="55"/>
      <c r="I20" s="97"/>
    </row>
    <row r="21" spans="2:9" x14ac:dyDescent="0.2">
      <c r="B21" s="98"/>
      <c r="C21" s="98"/>
      <c r="D21" s="98"/>
      <c r="E21" s="55">
        <v>2</v>
      </c>
      <c r="F21" s="55"/>
      <c r="G21" s="55"/>
      <c r="H21" s="55"/>
      <c r="I21" s="98"/>
    </row>
    <row r="22" spans="2:9" x14ac:dyDescent="0.2">
      <c r="B22" s="98"/>
      <c r="C22" s="98"/>
      <c r="D22" s="99"/>
      <c r="E22" s="56">
        <v>3</v>
      </c>
      <c r="F22" s="55"/>
      <c r="G22" s="55"/>
      <c r="H22" s="55"/>
      <c r="I22" s="99"/>
    </row>
    <row r="23" spans="2:9" x14ac:dyDescent="0.2">
      <c r="B23" s="98"/>
      <c r="C23" s="98"/>
      <c r="D23" s="97" t="s">
        <v>242</v>
      </c>
      <c r="E23" s="55">
        <v>1</v>
      </c>
      <c r="F23" s="55"/>
      <c r="G23" s="55"/>
      <c r="H23" s="55"/>
      <c r="I23" s="97"/>
    </row>
    <row r="24" spans="2:9" x14ac:dyDescent="0.2">
      <c r="B24" s="98"/>
      <c r="C24" s="98"/>
      <c r="D24" s="98"/>
      <c r="E24" s="55">
        <v>2</v>
      </c>
      <c r="F24" s="55"/>
      <c r="G24" s="55"/>
      <c r="H24" s="55"/>
      <c r="I24" s="98"/>
    </row>
    <row r="25" spans="2:9" x14ac:dyDescent="0.2">
      <c r="B25" s="99"/>
      <c r="C25" s="99"/>
      <c r="D25" s="99"/>
      <c r="E25" s="56">
        <v>3</v>
      </c>
      <c r="F25" s="55"/>
      <c r="G25" s="55"/>
      <c r="H25" s="55"/>
      <c r="I25" s="99"/>
    </row>
  </sheetData>
  <mergeCells count="21">
    <mergeCell ref="D23:D25"/>
    <mergeCell ref="I23:I25"/>
    <mergeCell ref="C5:C25"/>
    <mergeCell ref="B5:B25"/>
    <mergeCell ref="D17:D19"/>
    <mergeCell ref="I17:I19"/>
    <mergeCell ref="D20:D22"/>
    <mergeCell ref="I20:I22"/>
    <mergeCell ref="D11:D13"/>
    <mergeCell ref="I11:I13"/>
    <mergeCell ref="D14:D16"/>
    <mergeCell ref="I14:I16"/>
    <mergeCell ref="D5:D7"/>
    <mergeCell ref="D8:D10"/>
    <mergeCell ref="I8:I10"/>
    <mergeCell ref="B3:B4"/>
    <mergeCell ref="C3:C4"/>
    <mergeCell ref="D3:D4"/>
    <mergeCell ref="I3:I4"/>
    <mergeCell ref="I5:I7"/>
    <mergeCell ref="E3:H3"/>
  </mergeCells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FD1B-DD4C-442D-A190-C5F5E3641197}">
  <sheetPr>
    <tabColor theme="9" tint="0.79998168889431442"/>
  </sheetPr>
  <dimension ref="B2:V48"/>
  <sheetViews>
    <sheetView topLeftCell="A12" zoomScale="115" zoomScaleNormal="115" workbookViewId="0">
      <selection activeCell="H40" sqref="H40"/>
    </sheetView>
  </sheetViews>
  <sheetFormatPr defaultRowHeight="12.75" x14ac:dyDescent="0.2"/>
  <cols>
    <col min="1" max="1" width="4.42578125" style="23" customWidth="1"/>
    <col min="2" max="2" width="13.28515625" style="23" customWidth="1"/>
    <col min="3" max="3" width="13.140625" style="23" bestFit="1" customWidth="1"/>
    <col min="4" max="4" width="11.5703125" style="23" customWidth="1"/>
    <col min="5" max="7" width="9.140625" style="23"/>
    <col min="8" max="8" width="26.5703125" style="23" customWidth="1"/>
    <col min="9" max="9" width="9.140625" style="23"/>
    <col min="10" max="10" width="10.5703125" style="23" customWidth="1"/>
    <col min="11" max="12" width="9.140625" style="23"/>
    <col min="13" max="13" width="11.5703125" style="23" customWidth="1"/>
    <col min="14" max="14" width="10.5703125" style="23" customWidth="1"/>
    <col min="15" max="15" width="11.140625" style="23" customWidth="1"/>
    <col min="16" max="16" width="9.140625" style="23"/>
    <col min="17" max="17" width="10.85546875" style="23" customWidth="1"/>
    <col min="18" max="18" width="9.140625" style="23"/>
    <col min="19" max="19" width="8.7109375" style="23" customWidth="1"/>
    <col min="20" max="20" width="8.28515625" style="23" customWidth="1"/>
    <col min="21" max="21" width="8.5703125" style="23" customWidth="1"/>
    <col min="22" max="22" width="8.7109375" style="23" customWidth="1"/>
    <col min="23" max="23" width="9.140625" style="23"/>
    <col min="24" max="24" width="10.140625" style="23" customWidth="1"/>
    <col min="25" max="25" width="9.140625" style="23"/>
    <col min="26" max="26" width="9.42578125" style="23" customWidth="1"/>
    <col min="27" max="16384" width="9.140625" style="23"/>
  </cols>
  <sheetData>
    <row r="2" spans="2:22" ht="15.75" x14ac:dyDescent="0.2">
      <c r="B2" s="21" t="s">
        <v>164</v>
      </c>
      <c r="C2" s="22"/>
      <c r="D2" s="22" t="s">
        <v>78</v>
      </c>
      <c r="E2" s="22"/>
      <c r="F2" s="22"/>
      <c r="G2" s="22"/>
      <c r="H2" s="22"/>
      <c r="J2" s="21" t="s">
        <v>91</v>
      </c>
      <c r="P2" s="24"/>
      <c r="Q2" s="24" t="s">
        <v>120</v>
      </c>
      <c r="R2" s="24"/>
      <c r="S2" s="24"/>
    </row>
    <row r="3" spans="2:22" x14ac:dyDescent="0.2">
      <c r="B3" s="25" t="s">
        <v>77</v>
      </c>
      <c r="C3" s="25" t="s">
        <v>80</v>
      </c>
      <c r="D3" s="25" t="s">
        <v>81</v>
      </c>
      <c r="E3" s="101" t="s">
        <v>84</v>
      </c>
      <c r="F3" s="102"/>
      <c r="G3" s="102"/>
      <c r="H3" s="103"/>
      <c r="J3" s="26" t="s">
        <v>92</v>
      </c>
      <c r="K3" s="26" t="s">
        <v>60</v>
      </c>
      <c r="L3" s="26" t="s">
        <v>93</v>
      </c>
      <c r="Q3" s="26" t="s">
        <v>105</v>
      </c>
      <c r="R3" s="26" t="s">
        <v>104</v>
      </c>
      <c r="S3" s="26" t="s">
        <v>197</v>
      </c>
      <c r="T3" s="26" t="s">
        <v>198</v>
      </c>
      <c r="U3" s="26" t="s">
        <v>199</v>
      </c>
      <c r="V3" s="26" t="s">
        <v>200</v>
      </c>
    </row>
    <row r="4" spans="2:22" x14ac:dyDescent="0.2">
      <c r="B4" s="27" t="s">
        <v>79</v>
      </c>
      <c r="C4" s="27" t="s">
        <v>82</v>
      </c>
      <c r="D4" s="27" t="s">
        <v>83</v>
      </c>
      <c r="E4" s="28" t="s">
        <v>46</v>
      </c>
      <c r="F4" s="29"/>
      <c r="G4" s="29"/>
      <c r="H4" s="30"/>
      <c r="J4" s="31" t="s">
        <v>94</v>
      </c>
      <c r="K4" s="27" t="s">
        <v>101</v>
      </c>
      <c r="L4" s="27" t="s">
        <v>102</v>
      </c>
      <c r="Q4" s="111" t="s">
        <v>106</v>
      </c>
      <c r="R4" s="27" t="s">
        <v>121</v>
      </c>
      <c r="S4" s="27" t="s">
        <v>125</v>
      </c>
      <c r="T4" s="27" t="s">
        <v>115</v>
      </c>
      <c r="U4" s="27" t="s">
        <v>125</v>
      </c>
      <c r="V4" s="27" t="s">
        <v>126</v>
      </c>
    </row>
    <row r="5" spans="2:22" x14ac:dyDescent="0.2">
      <c r="B5" s="27" t="s">
        <v>83</v>
      </c>
      <c r="C5" s="27" t="s">
        <v>79</v>
      </c>
      <c r="D5" s="27" t="s">
        <v>86</v>
      </c>
      <c r="E5" s="28" t="s">
        <v>48</v>
      </c>
      <c r="F5" s="29"/>
      <c r="G5" s="29"/>
      <c r="H5" s="30"/>
      <c r="J5" s="31" t="s">
        <v>95</v>
      </c>
      <c r="K5" s="27" t="s">
        <v>101</v>
      </c>
      <c r="L5" s="27" t="s">
        <v>102</v>
      </c>
      <c r="Q5" s="112"/>
      <c r="R5" s="27" t="s">
        <v>122</v>
      </c>
      <c r="S5" s="27" t="s">
        <v>115</v>
      </c>
      <c r="T5" s="27" t="s">
        <v>125</v>
      </c>
      <c r="U5" s="27" t="s">
        <v>115</v>
      </c>
      <c r="V5" s="27" t="s">
        <v>125</v>
      </c>
    </row>
    <row r="6" spans="2:22" x14ac:dyDescent="0.2">
      <c r="B6" s="27" t="s">
        <v>86</v>
      </c>
      <c r="C6" s="27" t="s">
        <v>83</v>
      </c>
      <c r="D6" s="27" t="s">
        <v>85</v>
      </c>
      <c r="E6" s="28" t="s">
        <v>251</v>
      </c>
      <c r="F6" s="29"/>
      <c r="G6" s="29"/>
      <c r="H6" s="30"/>
      <c r="J6" s="31" t="s">
        <v>96</v>
      </c>
      <c r="K6" s="27" t="s">
        <v>101</v>
      </c>
      <c r="L6" s="27" t="s">
        <v>102</v>
      </c>
      <c r="Q6" s="112"/>
      <c r="R6" s="27" t="s">
        <v>123</v>
      </c>
      <c r="S6" s="27" t="s">
        <v>127</v>
      </c>
      <c r="T6" s="27" t="s">
        <v>127</v>
      </c>
      <c r="U6" s="27" t="s">
        <v>127</v>
      </c>
      <c r="V6" s="27" t="s">
        <v>127</v>
      </c>
    </row>
    <row r="7" spans="2:22" x14ac:dyDescent="0.2">
      <c r="B7" s="27" t="s">
        <v>85</v>
      </c>
      <c r="C7" s="27" t="s">
        <v>86</v>
      </c>
      <c r="D7" s="27" t="s">
        <v>82</v>
      </c>
      <c r="E7" s="28" t="s">
        <v>252</v>
      </c>
      <c r="F7" s="29"/>
      <c r="G7" s="29"/>
      <c r="H7" s="30"/>
      <c r="J7" s="31" t="s">
        <v>97</v>
      </c>
      <c r="K7" s="27" t="s">
        <v>101</v>
      </c>
      <c r="L7" s="27" t="s">
        <v>102</v>
      </c>
      <c r="Q7" s="112"/>
      <c r="R7" s="27" t="s">
        <v>425</v>
      </c>
      <c r="S7" s="27" t="s">
        <v>128</v>
      </c>
      <c r="T7" s="27" t="s">
        <v>126</v>
      </c>
      <c r="U7" s="27" t="s">
        <v>129</v>
      </c>
      <c r="V7" s="27" t="s">
        <v>115</v>
      </c>
    </row>
    <row r="8" spans="2:22" x14ac:dyDescent="0.2">
      <c r="B8" s="27" t="s">
        <v>82</v>
      </c>
      <c r="C8" s="27" t="s">
        <v>85</v>
      </c>
      <c r="D8" s="27" t="s">
        <v>79</v>
      </c>
      <c r="E8" s="28" t="s">
        <v>253</v>
      </c>
      <c r="F8" s="29"/>
      <c r="G8" s="29"/>
      <c r="H8" s="30"/>
      <c r="J8" s="31" t="s">
        <v>98</v>
      </c>
      <c r="K8" s="33">
        <v>0.9</v>
      </c>
      <c r="L8" s="27" t="s">
        <v>103</v>
      </c>
      <c r="Q8" s="113"/>
      <c r="R8" s="27" t="s">
        <v>124</v>
      </c>
      <c r="S8" s="27" t="s">
        <v>129</v>
      </c>
      <c r="T8" s="27" t="s">
        <v>129</v>
      </c>
      <c r="U8" s="27" t="s">
        <v>129</v>
      </c>
      <c r="V8" s="27" t="s">
        <v>126</v>
      </c>
    </row>
    <row r="9" spans="2:22" x14ac:dyDescent="0.2">
      <c r="B9" s="27" t="s">
        <v>87</v>
      </c>
      <c r="C9" s="27" t="s">
        <v>88</v>
      </c>
      <c r="D9" s="27" t="s">
        <v>90</v>
      </c>
      <c r="E9" s="104" t="s">
        <v>52</v>
      </c>
      <c r="F9" s="105"/>
      <c r="G9" s="105"/>
      <c r="H9" s="106"/>
      <c r="J9" s="31" t="s">
        <v>99</v>
      </c>
      <c r="K9" s="33">
        <v>0.02</v>
      </c>
      <c r="L9" s="27" t="s">
        <v>103</v>
      </c>
      <c r="M9" s="34" t="s">
        <v>58</v>
      </c>
      <c r="Q9" s="111" t="s">
        <v>107</v>
      </c>
      <c r="R9" s="27" t="s">
        <v>121</v>
      </c>
      <c r="S9" s="27" t="s">
        <v>130</v>
      </c>
      <c r="T9" s="27" t="s">
        <v>131</v>
      </c>
      <c r="U9" s="27" t="s">
        <v>130</v>
      </c>
      <c r="V9" s="27" t="s">
        <v>135</v>
      </c>
    </row>
    <row r="10" spans="2:22" ht="12.75" customHeight="1" x14ac:dyDescent="0.2">
      <c r="B10" s="27" t="s">
        <v>88</v>
      </c>
      <c r="C10" s="27" t="s">
        <v>87</v>
      </c>
      <c r="D10" s="27" t="s">
        <v>90</v>
      </c>
      <c r="E10" s="107"/>
      <c r="F10" s="108"/>
      <c r="G10" s="108"/>
      <c r="H10" s="109"/>
      <c r="J10" s="48" t="s">
        <v>100</v>
      </c>
      <c r="K10" s="49">
        <v>0.05</v>
      </c>
      <c r="L10" s="32" t="s">
        <v>103</v>
      </c>
      <c r="Q10" s="112"/>
      <c r="R10" s="27" t="s">
        <v>122</v>
      </c>
      <c r="S10" s="27" t="s">
        <v>131</v>
      </c>
      <c r="T10" s="27" t="s">
        <v>130</v>
      </c>
      <c r="U10" s="27" t="s">
        <v>131</v>
      </c>
      <c r="V10" s="27" t="s">
        <v>130</v>
      </c>
    </row>
    <row r="11" spans="2:22" ht="12" customHeight="1" x14ac:dyDescent="0.2">
      <c r="B11" s="32" t="s">
        <v>89</v>
      </c>
      <c r="C11" s="32" t="s">
        <v>90</v>
      </c>
      <c r="D11" s="32" t="s">
        <v>90</v>
      </c>
      <c r="E11" s="110" t="s">
        <v>53</v>
      </c>
      <c r="F11" s="110"/>
      <c r="G11" s="110"/>
      <c r="H11" s="110"/>
      <c r="J11" s="50"/>
      <c r="K11" s="51"/>
      <c r="L11" s="35"/>
      <c r="Q11" s="112"/>
      <c r="R11" s="27" t="s">
        <v>123</v>
      </c>
      <c r="S11" s="27" t="s">
        <v>132</v>
      </c>
      <c r="T11" s="27" t="s">
        <v>132</v>
      </c>
      <c r="U11" s="27" t="s">
        <v>132</v>
      </c>
      <c r="V11" s="27" t="s">
        <v>132</v>
      </c>
    </row>
    <row r="12" spans="2:22" x14ac:dyDescent="0.2">
      <c r="B12" s="35"/>
      <c r="C12" s="35"/>
      <c r="D12" s="35"/>
      <c r="E12" s="36"/>
      <c r="F12" s="36"/>
      <c r="G12" s="36"/>
      <c r="H12" s="36"/>
      <c r="N12" s="37"/>
      <c r="O12" s="37"/>
      <c r="Q12" s="112"/>
      <c r="R12" s="27" t="s">
        <v>425</v>
      </c>
      <c r="S12" s="27" t="s">
        <v>133</v>
      </c>
      <c r="T12" s="27" t="s">
        <v>135</v>
      </c>
      <c r="U12" s="27" t="s">
        <v>134</v>
      </c>
      <c r="V12" s="27" t="s">
        <v>131</v>
      </c>
    </row>
    <row r="13" spans="2:22" x14ac:dyDescent="0.2">
      <c r="B13" s="38"/>
      <c r="C13" s="39"/>
      <c r="D13" s="38"/>
      <c r="E13" s="38"/>
      <c r="F13" s="38"/>
      <c r="G13" s="38"/>
      <c r="H13" s="38"/>
      <c r="Q13" s="113"/>
      <c r="R13" s="27" t="s">
        <v>124</v>
      </c>
      <c r="S13" s="27" t="s">
        <v>134</v>
      </c>
      <c r="T13" s="27" t="s">
        <v>134</v>
      </c>
      <c r="U13" s="27" t="s">
        <v>134</v>
      </c>
      <c r="V13" s="27" t="s">
        <v>135</v>
      </c>
    </row>
    <row r="14" spans="2:22" x14ac:dyDescent="0.2">
      <c r="B14" s="38"/>
      <c r="C14" s="39"/>
      <c r="D14" s="38"/>
      <c r="E14" s="38"/>
      <c r="F14" s="38"/>
      <c r="G14" s="38"/>
      <c r="H14" s="38"/>
      <c r="Q14" s="111" t="s">
        <v>108</v>
      </c>
      <c r="R14" s="27" t="s">
        <v>121</v>
      </c>
      <c r="S14" s="27" t="s">
        <v>136</v>
      </c>
      <c r="T14" s="27" t="s">
        <v>137</v>
      </c>
      <c r="U14" s="27" t="s">
        <v>136</v>
      </c>
      <c r="V14" s="27" t="s">
        <v>141</v>
      </c>
    </row>
    <row r="15" spans="2:22" x14ac:dyDescent="0.2">
      <c r="M15" s="41" t="s">
        <v>255</v>
      </c>
      <c r="Q15" s="112"/>
      <c r="R15" s="27" t="s">
        <v>122</v>
      </c>
      <c r="S15" s="27" t="s">
        <v>137</v>
      </c>
      <c r="T15" s="27" t="s">
        <v>136</v>
      </c>
      <c r="U15" s="27" t="s">
        <v>137</v>
      </c>
      <c r="V15" s="27" t="s">
        <v>136</v>
      </c>
    </row>
    <row r="16" spans="2:22" x14ac:dyDescent="0.2">
      <c r="M16" s="41" t="s">
        <v>217</v>
      </c>
      <c r="Q16" s="112"/>
      <c r="R16" s="27" t="s">
        <v>123</v>
      </c>
      <c r="S16" s="27" t="s">
        <v>138</v>
      </c>
      <c r="T16" s="27" t="s">
        <v>138</v>
      </c>
      <c r="U16" s="27" t="s">
        <v>138</v>
      </c>
      <c r="V16" s="27" t="s">
        <v>138</v>
      </c>
    </row>
    <row r="17" spans="2:22" x14ac:dyDescent="0.2">
      <c r="M17" s="67" t="s">
        <v>256</v>
      </c>
      <c r="Q17" s="112"/>
      <c r="R17" s="27" t="s">
        <v>425</v>
      </c>
      <c r="S17" s="27" t="s">
        <v>139</v>
      </c>
      <c r="T17" s="27" t="s">
        <v>141</v>
      </c>
      <c r="U17" s="27" t="s">
        <v>140</v>
      </c>
      <c r="V17" s="27" t="s">
        <v>137</v>
      </c>
    </row>
    <row r="18" spans="2:22" ht="15.75" x14ac:dyDescent="0.2">
      <c r="M18" s="21" t="s">
        <v>113</v>
      </c>
      <c r="Q18" s="113"/>
      <c r="R18" s="27" t="s">
        <v>124</v>
      </c>
      <c r="S18" s="27" t="s">
        <v>140</v>
      </c>
      <c r="T18" s="27" t="s">
        <v>140</v>
      </c>
      <c r="U18" s="27" t="s">
        <v>140</v>
      </c>
      <c r="V18" s="27" t="s">
        <v>141</v>
      </c>
    </row>
    <row r="19" spans="2:22" x14ac:dyDescent="0.2">
      <c r="M19" s="26" t="s">
        <v>92</v>
      </c>
      <c r="N19" s="26" t="s">
        <v>111</v>
      </c>
      <c r="O19" s="26" t="s">
        <v>112</v>
      </c>
      <c r="Q19" s="111" t="s">
        <v>109</v>
      </c>
      <c r="R19" s="27" t="s">
        <v>121</v>
      </c>
      <c r="S19" s="27" t="s">
        <v>142</v>
      </c>
      <c r="T19" s="27" t="s">
        <v>143</v>
      </c>
      <c r="U19" s="27" t="s">
        <v>142</v>
      </c>
      <c r="V19" s="27" t="s">
        <v>147</v>
      </c>
    </row>
    <row r="20" spans="2:22" x14ac:dyDescent="0.2">
      <c r="B20" s="40"/>
      <c r="M20" s="31" t="s">
        <v>106</v>
      </c>
      <c r="N20" s="27">
        <v>50</v>
      </c>
      <c r="O20" s="27" t="s">
        <v>114</v>
      </c>
      <c r="Q20" s="112"/>
      <c r="R20" s="27" t="s">
        <v>122</v>
      </c>
      <c r="S20" s="27" t="s">
        <v>143</v>
      </c>
      <c r="T20" s="27" t="s">
        <v>142</v>
      </c>
      <c r="U20" s="27" t="s">
        <v>143</v>
      </c>
      <c r="V20" s="27" t="s">
        <v>142</v>
      </c>
    </row>
    <row r="21" spans="2:22" x14ac:dyDescent="0.2">
      <c r="B21" s="40"/>
      <c r="M21" s="31" t="s">
        <v>107</v>
      </c>
      <c r="N21" s="27">
        <v>60</v>
      </c>
      <c r="O21" s="27" t="s">
        <v>116</v>
      </c>
      <c r="Q21" s="112"/>
      <c r="R21" s="27" t="s">
        <v>123</v>
      </c>
      <c r="S21" s="27" t="s">
        <v>144</v>
      </c>
      <c r="T21" s="27" t="s">
        <v>144</v>
      </c>
      <c r="U21" s="27" t="s">
        <v>144</v>
      </c>
      <c r="V21" s="27" t="s">
        <v>144</v>
      </c>
    </row>
    <row r="22" spans="2:22" x14ac:dyDescent="0.2">
      <c r="B22" s="40"/>
      <c r="M22" s="31" t="s">
        <v>108</v>
      </c>
      <c r="N22" s="27">
        <v>70</v>
      </c>
      <c r="O22" s="27" t="s">
        <v>117</v>
      </c>
      <c r="Q22" s="112"/>
      <c r="R22" s="27" t="s">
        <v>425</v>
      </c>
      <c r="S22" s="27" t="s">
        <v>145</v>
      </c>
      <c r="T22" s="27" t="s">
        <v>147</v>
      </c>
      <c r="U22" s="27" t="s">
        <v>146</v>
      </c>
      <c r="V22" s="27" t="s">
        <v>143</v>
      </c>
    </row>
    <row r="23" spans="2:22" x14ac:dyDescent="0.2">
      <c r="B23" s="40"/>
      <c r="M23" s="31" t="s">
        <v>109</v>
      </c>
      <c r="N23" s="27">
        <v>80</v>
      </c>
      <c r="O23" s="27" t="s">
        <v>118</v>
      </c>
      <c r="Q23" s="113"/>
      <c r="R23" s="27" t="s">
        <v>124</v>
      </c>
      <c r="S23" s="27" t="s">
        <v>146</v>
      </c>
      <c r="T23" s="27" t="s">
        <v>146</v>
      </c>
      <c r="U23" s="27" t="s">
        <v>146</v>
      </c>
      <c r="V23" s="27" t="s">
        <v>146</v>
      </c>
    </row>
    <row r="24" spans="2:22" x14ac:dyDescent="0.2">
      <c r="B24" s="40"/>
      <c r="M24" s="31" t="s">
        <v>110</v>
      </c>
      <c r="N24" s="27">
        <v>90</v>
      </c>
      <c r="O24" s="27" t="s">
        <v>119</v>
      </c>
      <c r="Q24" s="111" t="s">
        <v>110</v>
      </c>
      <c r="R24" s="27" t="s">
        <v>121</v>
      </c>
      <c r="S24" s="27" t="s">
        <v>148</v>
      </c>
      <c r="T24" s="27" t="s">
        <v>149</v>
      </c>
      <c r="U24" s="27" t="s">
        <v>148</v>
      </c>
      <c r="V24" s="27" t="s">
        <v>150</v>
      </c>
    </row>
    <row r="25" spans="2:22" x14ac:dyDescent="0.2">
      <c r="B25" s="40"/>
      <c r="Q25" s="112"/>
      <c r="R25" s="27" t="s">
        <v>122</v>
      </c>
      <c r="S25" s="27" t="s">
        <v>149</v>
      </c>
      <c r="T25" s="27" t="s">
        <v>148</v>
      </c>
      <c r="U25" s="27" t="s">
        <v>149</v>
      </c>
      <c r="V25" s="27" t="s">
        <v>148</v>
      </c>
    </row>
    <row r="26" spans="2:22" ht="15" x14ac:dyDescent="0.2">
      <c r="B26" s="40"/>
      <c r="M26" s="24" t="s">
        <v>154</v>
      </c>
      <c r="N26" s="24"/>
      <c r="O26" s="24"/>
      <c r="Q26" s="112"/>
      <c r="R26" s="27" t="s">
        <v>123</v>
      </c>
      <c r="S26" s="27" t="s">
        <v>151</v>
      </c>
      <c r="T26" s="27" t="s">
        <v>151</v>
      </c>
      <c r="U26" s="27" t="s">
        <v>151</v>
      </c>
      <c r="V26" s="27" t="s">
        <v>151</v>
      </c>
    </row>
    <row r="27" spans="2:22" x14ac:dyDescent="0.2">
      <c r="B27" s="40"/>
      <c r="M27" s="26" t="s">
        <v>105</v>
      </c>
      <c r="N27" s="26" t="s">
        <v>155</v>
      </c>
      <c r="O27" s="26" t="s">
        <v>156</v>
      </c>
      <c r="Q27" s="112"/>
      <c r="R27" s="27" t="s">
        <v>425</v>
      </c>
      <c r="S27" s="27" t="s">
        <v>152</v>
      </c>
      <c r="T27" s="27" t="s">
        <v>150</v>
      </c>
      <c r="U27" s="27" t="s">
        <v>153</v>
      </c>
      <c r="V27" s="27" t="s">
        <v>149</v>
      </c>
    </row>
    <row r="28" spans="2:22" x14ac:dyDescent="0.2">
      <c r="B28" s="40"/>
      <c r="M28" s="31" t="s">
        <v>106</v>
      </c>
      <c r="N28" s="42">
        <v>0.5</v>
      </c>
      <c r="O28" s="42">
        <v>1</v>
      </c>
      <c r="Q28" s="113"/>
      <c r="R28" s="27" t="s">
        <v>124</v>
      </c>
      <c r="S28" s="27" t="s">
        <v>153</v>
      </c>
      <c r="T28" s="27" t="s">
        <v>153</v>
      </c>
      <c r="U28" s="27" t="s">
        <v>153</v>
      </c>
      <c r="V28" s="27" t="s">
        <v>150</v>
      </c>
    </row>
    <row r="29" spans="2:22" x14ac:dyDescent="0.2">
      <c r="B29" s="40"/>
      <c r="M29" s="31" t="s">
        <v>107</v>
      </c>
      <c r="N29" s="42">
        <v>1</v>
      </c>
      <c r="O29" s="42">
        <v>1.5</v>
      </c>
    </row>
    <row r="30" spans="2:22" x14ac:dyDescent="0.2">
      <c r="M30" s="31" t="s">
        <v>108</v>
      </c>
      <c r="N30" s="42">
        <v>1.5</v>
      </c>
      <c r="O30" s="42">
        <v>2</v>
      </c>
      <c r="P30" s="43" t="s">
        <v>157</v>
      </c>
    </row>
    <row r="31" spans="2:22" x14ac:dyDescent="0.2">
      <c r="M31" s="31" t="s">
        <v>109</v>
      </c>
      <c r="N31" s="42">
        <v>2</v>
      </c>
      <c r="O31" s="42">
        <v>2.5</v>
      </c>
    </row>
    <row r="32" spans="2:22" x14ac:dyDescent="0.2">
      <c r="M32" s="31" t="s">
        <v>110</v>
      </c>
      <c r="N32" s="42">
        <v>2.5</v>
      </c>
      <c r="O32" s="42">
        <v>3</v>
      </c>
    </row>
    <row r="33" spans="2:15" x14ac:dyDescent="0.2">
      <c r="M33" s="41" t="s">
        <v>217</v>
      </c>
    </row>
    <row r="34" spans="2:15" x14ac:dyDescent="0.2">
      <c r="B34" s="34"/>
    </row>
    <row r="35" spans="2:15" ht="15" x14ac:dyDescent="0.2">
      <c r="B35" s="24" t="s">
        <v>235</v>
      </c>
      <c r="M35" s="24" t="s">
        <v>161</v>
      </c>
    </row>
    <row r="36" spans="2:15" x14ac:dyDescent="0.2">
      <c r="B36" s="114" t="s">
        <v>236</v>
      </c>
      <c r="C36" s="115"/>
      <c r="M36" s="26" t="s">
        <v>105</v>
      </c>
      <c r="N36" s="26" t="s">
        <v>158</v>
      </c>
      <c r="O36" s="34" t="s">
        <v>159</v>
      </c>
    </row>
    <row r="37" spans="2:15" x14ac:dyDescent="0.2">
      <c r="B37" s="65" t="s">
        <v>234</v>
      </c>
      <c r="C37" s="65" t="s">
        <v>92</v>
      </c>
      <c r="M37" s="31" t="s">
        <v>106</v>
      </c>
      <c r="N37" s="42">
        <v>5</v>
      </c>
    </row>
    <row r="38" spans="2:15" x14ac:dyDescent="0.2">
      <c r="B38" s="27">
        <v>1</v>
      </c>
      <c r="C38" s="27" t="s">
        <v>245</v>
      </c>
      <c r="M38" s="31" t="s">
        <v>107</v>
      </c>
      <c r="N38" s="42">
        <v>10</v>
      </c>
    </row>
    <row r="39" spans="2:15" x14ac:dyDescent="0.2">
      <c r="B39" s="27">
        <v>2</v>
      </c>
      <c r="C39" s="27" t="s">
        <v>246</v>
      </c>
      <c r="M39" s="31" t="s">
        <v>108</v>
      </c>
      <c r="N39" s="42">
        <v>15</v>
      </c>
      <c r="O39" s="34" t="s">
        <v>160</v>
      </c>
    </row>
    <row r="40" spans="2:15" x14ac:dyDescent="0.2">
      <c r="B40" s="27">
        <v>3</v>
      </c>
      <c r="C40" s="27" t="s">
        <v>247</v>
      </c>
      <c r="M40" s="31" t="s">
        <v>109</v>
      </c>
      <c r="N40" s="42">
        <v>20</v>
      </c>
    </row>
    <row r="41" spans="2:15" x14ac:dyDescent="0.2">
      <c r="M41" s="31" t="s">
        <v>110</v>
      </c>
      <c r="N41" s="42">
        <v>25</v>
      </c>
    </row>
    <row r="42" spans="2:15" x14ac:dyDescent="0.2">
      <c r="B42" s="114" t="s">
        <v>244</v>
      </c>
      <c r="C42" s="115"/>
      <c r="M42" s="41" t="s">
        <v>217</v>
      </c>
    </row>
    <row r="43" spans="2:15" x14ac:dyDescent="0.2">
      <c r="B43" s="65" t="s">
        <v>234</v>
      </c>
      <c r="C43" s="65" t="s">
        <v>92</v>
      </c>
    </row>
    <row r="44" spans="2:15" x14ac:dyDescent="0.2">
      <c r="B44" s="27">
        <v>1</v>
      </c>
      <c r="C44" s="27" t="s">
        <v>248</v>
      </c>
    </row>
    <row r="45" spans="2:15" x14ac:dyDescent="0.2">
      <c r="B45" s="27">
        <v>2</v>
      </c>
      <c r="C45" s="27" t="s">
        <v>249</v>
      </c>
    </row>
    <row r="46" spans="2:15" x14ac:dyDescent="0.2">
      <c r="B46" s="27">
        <v>3</v>
      </c>
      <c r="C46" s="27" t="s">
        <v>246</v>
      </c>
    </row>
    <row r="47" spans="2:15" x14ac:dyDescent="0.2">
      <c r="B47" s="27">
        <v>4</v>
      </c>
      <c r="C47" s="27" t="s">
        <v>250</v>
      </c>
    </row>
    <row r="48" spans="2:15" x14ac:dyDescent="0.2">
      <c r="B48" s="27">
        <v>5</v>
      </c>
      <c r="C48" s="27" t="s">
        <v>247</v>
      </c>
    </row>
  </sheetData>
  <mergeCells count="10">
    <mergeCell ref="Q14:Q18"/>
    <mergeCell ref="Q19:Q23"/>
    <mergeCell ref="Q24:Q28"/>
    <mergeCell ref="B36:C36"/>
    <mergeCell ref="B42:C42"/>
    <mergeCell ref="E3:H3"/>
    <mergeCell ref="E9:H10"/>
    <mergeCell ref="E11:H11"/>
    <mergeCell ref="Q4:Q8"/>
    <mergeCell ref="Q9:Q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5052-E5E9-46F3-A75D-4FE9D0609FFE}">
  <sheetPr>
    <tabColor theme="4" tint="0.79998168889431442"/>
  </sheetPr>
  <dimension ref="B2:Y52"/>
  <sheetViews>
    <sheetView topLeftCell="F2" zoomScale="115" zoomScaleNormal="115" workbookViewId="0">
      <selection activeCell="M34" sqref="M34:M38"/>
    </sheetView>
  </sheetViews>
  <sheetFormatPr defaultRowHeight="12.75" x14ac:dyDescent="0.2"/>
  <cols>
    <col min="2" max="2" width="21.42578125" bestFit="1" customWidth="1"/>
    <col min="3" max="3" width="34.7109375" bestFit="1" customWidth="1"/>
    <col min="4" max="4" width="34.7109375" customWidth="1"/>
    <col min="5" max="5" width="61" customWidth="1"/>
    <col min="7" max="7" width="16.42578125" bestFit="1" customWidth="1"/>
    <col min="9" max="9" width="12.140625" customWidth="1"/>
    <col min="10" max="10" width="15.42578125" bestFit="1" customWidth="1"/>
    <col min="11" max="11" width="38.28515625" bestFit="1" customWidth="1"/>
    <col min="12" max="12" width="14.42578125" bestFit="1" customWidth="1"/>
    <col min="13" max="13" width="36.28515625" customWidth="1"/>
    <col min="14" max="14" width="24" bestFit="1" customWidth="1"/>
    <col min="15" max="15" width="22.85546875" customWidth="1"/>
    <col min="17" max="17" width="14.5703125" bestFit="1" customWidth="1"/>
    <col min="19" max="19" width="11.140625" bestFit="1" customWidth="1"/>
    <col min="20" max="20" width="11.140625" customWidth="1"/>
    <col min="21" max="22" width="18.140625" bestFit="1" customWidth="1"/>
    <col min="23" max="23" width="23.7109375" bestFit="1" customWidth="1"/>
    <col min="24" max="24" width="30.42578125" bestFit="1" customWidth="1"/>
    <col min="25" max="25" width="18.28515625" bestFit="1" customWidth="1"/>
  </cols>
  <sheetData>
    <row r="2" spans="2:25" ht="15.75" x14ac:dyDescent="0.2">
      <c r="B2" s="21" t="s">
        <v>162</v>
      </c>
      <c r="C2" s="23"/>
      <c r="D2" s="23"/>
      <c r="E2" s="23"/>
      <c r="G2" s="21" t="s">
        <v>211</v>
      </c>
      <c r="H2" s="23"/>
      <c r="I2" s="23"/>
      <c r="J2" s="23"/>
      <c r="K2" s="23"/>
      <c r="L2" s="23"/>
      <c r="M2" s="23"/>
      <c r="N2" s="23"/>
      <c r="O2" s="23"/>
      <c r="Q2" s="21" t="s">
        <v>212</v>
      </c>
    </row>
    <row r="3" spans="2:25" x14ac:dyDescent="0.2">
      <c r="B3" s="26" t="s">
        <v>92</v>
      </c>
      <c r="C3" s="26" t="s">
        <v>163</v>
      </c>
      <c r="D3" s="26" t="s">
        <v>214</v>
      </c>
      <c r="E3" s="26" t="s">
        <v>84</v>
      </c>
      <c r="G3" s="26" t="s">
        <v>92</v>
      </c>
      <c r="H3" s="26" t="s">
        <v>214</v>
      </c>
      <c r="I3" s="26" t="s">
        <v>105</v>
      </c>
      <c r="J3" s="26" t="s">
        <v>259</v>
      </c>
      <c r="K3" s="26" t="s">
        <v>163</v>
      </c>
      <c r="L3" s="26" t="s">
        <v>338</v>
      </c>
      <c r="M3" s="26" t="s">
        <v>84</v>
      </c>
      <c r="N3" s="26" t="s">
        <v>216</v>
      </c>
      <c r="O3" s="26" t="s">
        <v>325</v>
      </c>
      <c r="Q3" s="26" t="s">
        <v>92</v>
      </c>
      <c r="R3" s="26" t="s">
        <v>214</v>
      </c>
      <c r="S3" s="26" t="s">
        <v>105</v>
      </c>
      <c r="T3" s="26" t="s">
        <v>257</v>
      </c>
      <c r="U3" s="26" t="s">
        <v>163</v>
      </c>
      <c r="V3" s="26" t="s">
        <v>338</v>
      </c>
      <c r="W3" s="26" t="s">
        <v>84</v>
      </c>
      <c r="X3" s="26" t="s">
        <v>216</v>
      </c>
      <c r="Y3" s="26" t="s">
        <v>325</v>
      </c>
    </row>
    <row r="4" spans="2:25" ht="12.75" customHeight="1" x14ac:dyDescent="0.2">
      <c r="B4" s="97" t="s">
        <v>263</v>
      </c>
      <c r="C4" s="54" t="s">
        <v>269</v>
      </c>
      <c r="D4" s="97" t="s">
        <v>215</v>
      </c>
      <c r="E4" s="122" t="s">
        <v>265</v>
      </c>
      <c r="G4" s="116" t="s">
        <v>228</v>
      </c>
      <c r="H4" s="74" t="s">
        <v>229</v>
      </c>
      <c r="I4" s="58" t="s">
        <v>106</v>
      </c>
      <c r="J4" s="75" t="s">
        <v>260</v>
      </c>
      <c r="K4" s="76" t="s">
        <v>321</v>
      </c>
      <c r="L4" s="75" t="s">
        <v>336</v>
      </c>
      <c r="M4" s="119" t="s">
        <v>448</v>
      </c>
      <c r="N4" s="73"/>
      <c r="O4" s="76" t="s">
        <v>326</v>
      </c>
      <c r="Q4" s="125" t="s">
        <v>330</v>
      </c>
      <c r="R4" s="74" t="s">
        <v>215</v>
      </c>
      <c r="S4" s="58" t="s">
        <v>106</v>
      </c>
      <c r="T4" s="55" t="s">
        <v>258</v>
      </c>
      <c r="U4" s="76" t="s">
        <v>219</v>
      </c>
      <c r="V4" s="75" t="s">
        <v>336</v>
      </c>
      <c r="W4" s="122" t="s">
        <v>442</v>
      </c>
      <c r="X4" s="77"/>
      <c r="Y4" s="77"/>
    </row>
    <row r="5" spans="2:25" x14ac:dyDescent="0.2">
      <c r="B5" s="99"/>
      <c r="C5" s="52" t="s">
        <v>264</v>
      </c>
      <c r="D5" s="99"/>
      <c r="E5" s="124"/>
      <c r="G5" s="117"/>
      <c r="H5" s="74" t="s">
        <v>229</v>
      </c>
      <c r="I5" s="52" t="s">
        <v>107</v>
      </c>
      <c r="J5" s="75" t="s">
        <v>260</v>
      </c>
      <c r="K5" s="76" t="s">
        <v>322</v>
      </c>
      <c r="L5" s="75" t="s">
        <v>336</v>
      </c>
      <c r="M5" s="120"/>
      <c r="N5" s="73"/>
      <c r="O5" s="73"/>
      <c r="Q5" s="126"/>
      <c r="R5" s="74" t="s">
        <v>215</v>
      </c>
      <c r="S5" s="52" t="s">
        <v>107</v>
      </c>
      <c r="T5" s="55" t="s">
        <v>258</v>
      </c>
      <c r="U5" s="76" t="s">
        <v>220</v>
      </c>
      <c r="V5" s="75" t="s">
        <v>336</v>
      </c>
      <c r="W5" s="123"/>
      <c r="X5" s="77"/>
      <c r="Y5" s="77"/>
    </row>
    <row r="6" spans="2:25" ht="12.75" customHeight="1" x14ac:dyDescent="0.2">
      <c r="B6" s="97" t="s">
        <v>262</v>
      </c>
      <c r="C6" s="54" t="s">
        <v>288</v>
      </c>
      <c r="D6" s="97" t="s">
        <v>215</v>
      </c>
      <c r="E6" s="122" t="s">
        <v>267</v>
      </c>
      <c r="G6" s="117"/>
      <c r="H6" s="74" t="s">
        <v>229</v>
      </c>
      <c r="I6" s="52" t="s">
        <v>108</v>
      </c>
      <c r="J6" s="75" t="s">
        <v>260</v>
      </c>
      <c r="K6" s="76" t="s">
        <v>310</v>
      </c>
      <c r="L6" s="75" t="s">
        <v>336</v>
      </c>
      <c r="M6" s="120"/>
      <c r="N6" s="73"/>
      <c r="O6" s="73"/>
      <c r="Q6" s="126"/>
      <c r="R6" s="74" t="s">
        <v>215</v>
      </c>
      <c r="S6" s="52" t="s">
        <v>108</v>
      </c>
      <c r="T6" s="55" t="s">
        <v>258</v>
      </c>
      <c r="U6" s="76" t="s">
        <v>221</v>
      </c>
      <c r="V6" s="75" t="s">
        <v>336</v>
      </c>
      <c r="W6" s="123"/>
      <c r="X6" s="77"/>
      <c r="Y6" s="77"/>
    </row>
    <row r="7" spans="2:25" x14ac:dyDescent="0.2">
      <c r="B7" s="98"/>
      <c r="C7" s="52" t="s">
        <v>266</v>
      </c>
      <c r="D7" s="98"/>
      <c r="E7" s="123"/>
      <c r="G7" s="117"/>
      <c r="H7" s="74" t="s">
        <v>229</v>
      </c>
      <c r="I7" s="52" t="s">
        <v>109</v>
      </c>
      <c r="J7" s="75" t="s">
        <v>260</v>
      </c>
      <c r="K7" s="76" t="s">
        <v>323</v>
      </c>
      <c r="L7" s="75" t="s">
        <v>336</v>
      </c>
      <c r="M7" s="120"/>
      <c r="N7" s="73"/>
      <c r="O7" s="73"/>
      <c r="Q7" s="126"/>
      <c r="R7" s="74" t="s">
        <v>215</v>
      </c>
      <c r="S7" s="52" t="s">
        <v>109</v>
      </c>
      <c r="T7" s="55" t="s">
        <v>258</v>
      </c>
      <c r="U7" s="76" t="s">
        <v>222</v>
      </c>
      <c r="V7" s="75" t="s">
        <v>336</v>
      </c>
      <c r="W7" s="123"/>
      <c r="X7" s="77"/>
      <c r="Y7" s="77"/>
    </row>
    <row r="8" spans="2:25" x14ac:dyDescent="0.2">
      <c r="B8" s="99"/>
      <c r="C8" s="52" t="s">
        <v>268</v>
      </c>
      <c r="D8" s="99"/>
      <c r="E8" s="124"/>
      <c r="G8" s="118"/>
      <c r="H8" s="74" t="s">
        <v>229</v>
      </c>
      <c r="I8" s="52" t="s">
        <v>110</v>
      </c>
      <c r="J8" s="75" t="s">
        <v>260</v>
      </c>
      <c r="K8" s="76" t="s">
        <v>324</v>
      </c>
      <c r="L8" s="75" t="s">
        <v>336</v>
      </c>
      <c r="M8" s="121"/>
      <c r="N8" s="73"/>
      <c r="O8" s="73"/>
      <c r="Q8" s="127"/>
      <c r="R8" s="74" t="s">
        <v>215</v>
      </c>
      <c r="S8" s="52" t="s">
        <v>110</v>
      </c>
      <c r="T8" s="55" t="s">
        <v>258</v>
      </c>
      <c r="U8" s="76" t="s">
        <v>223</v>
      </c>
      <c r="V8" s="75" t="s">
        <v>336</v>
      </c>
      <c r="W8" s="124"/>
      <c r="X8" s="77"/>
      <c r="Y8" s="77"/>
    </row>
    <row r="9" spans="2:25" ht="12.75" customHeight="1" x14ac:dyDescent="0.2">
      <c r="B9" s="97" t="s">
        <v>165</v>
      </c>
      <c r="C9" s="54" t="s">
        <v>276</v>
      </c>
      <c r="D9" s="97" t="s">
        <v>215</v>
      </c>
      <c r="E9" s="122" t="s">
        <v>290</v>
      </c>
      <c r="G9" s="139" t="s">
        <v>363</v>
      </c>
      <c r="H9" s="55" t="s">
        <v>215</v>
      </c>
      <c r="I9" s="58" t="s">
        <v>106</v>
      </c>
      <c r="J9" s="55" t="s">
        <v>396</v>
      </c>
      <c r="K9" s="58" t="s">
        <v>366</v>
      </c>
      <c r="L9" s="55" t="s">
        <v>365</v>
      </c>
      <c r="M9" s="122" t="s">
        <v>397</v>
      </c>
      <c r="N9" s="59" t="s">
        <v>364</v>
      </c>
      <c r="O9" s="59"/>
      <c r="Q9" s="125" t="s">
        <v>342</v>
      </c>
      <c r="R9" s="74" t="s">
        <v>229</v>
      </c>
      <c r="S9" s="58" t="s">
        <v>106</v>
      </c>
      <c r="T9" s="55" t="s">
        <v>308</v>
      </c>
      <c r="U9" s="76" t="s">
        <v>344</v>
      </c>
      <c r="V9" s="75" t="s">
        <v>336</v>
      </c>
      <c r="W9" s="122" t="s">
        <v>443</v>
      </c>
      <c r="X9" s="77" t="s">
        <v>354</v>
      </c>
      <c r="Y9" s="77"/>
    </row>
    <row r="10" spans="2:25" ht="12.75" customHeight="1" x14ac:dyDescent="0.2">
      <c r="B10" s="98"/>
      <c r="C10" s="52" t="s">
        <v>291</v>
      </c>
      <c r="D10" s="98"/>
      <c r="E10" s="123"/>
      <c r="G10" s="141"/>
      <c r="H10" s="55" t="s">
        <v>215</v>
      </c>
      <c r="I10" s="52" t="s">
        <v>107</v>
      </c>
      <c r="J10" s="55" t="s">
        <v>396</v>
      </c>
      <c r="K10" s="58" t="s">
        <v>368</v>
      </c>
      <c r="L10" s="55" t="s">
        <v>365</v>
      </c>
      <c r="M10" s="123"/>
      <c r="N10" s="53"/>
      <c r="O10" s="53"/>
      <c r="Q10" s="126"/>
      <c r="R10" s="74" t="s">
        <v>229</v>
      </c>
      <c r="S10" s="52" t="s">
        <v>107</v>
      </c>
      <c r="T10" s="55" t="s">
        <v>308</v>
      </c>
      <c r="U10" s="76" t="s">
        <v>345</v>
      </c>
      <c r="V10" s="75" t="s">
        <v>336</v>
      </c>
      <c r="W10" s="123"/>
      <c r="X10" s="77"/>
      <c r="Y10" s="77"/>
    </row>
    <row r="11" spans="2:25" x14ac:dyDescent="0.2">
      <c r="B11" s="98"/>
      <c r="C11" s="52" t="s">
        <v>270</v>
      </c>
      <c r="D11" s="98"/>
      <c r="E11" s="123"/>
      <c r="G11" s="141"/>
      <c r="H11" s="55" t="s">
        <v>215</v>
      </c>
      <c r="I11" s="52" t="s">
        <v>108</v>
      </c>
      <c r="J11" s="55" t="s">
        <v>396</v>
      </c>
      <c r="K11" s="58" t="s">
        <v>367</v>
      </c>
      <c r="L11" s="55" t="s">
        <v>365</v>
      </c>
      <c r="M11" s="123"/>
      <c r="N11" s="53"/>
      <c r="O11" s="53"/>
      <c r="Q11" s="126"/>
      <c r="R11" s="74" t="s">
        <v>229</v>
      </c>
      <c r="S11" s="52" t="s">
        <v>108</v>
      </c>
      <c r="T11" s="55" t="s">
        <v>308</v>
      </c>
      <c r="U11" s="76" t="s">
        <v>346</v>
      </c>
      <c r="V11" s="75" t="s">
        <v>336</v>
      </c>
      <c r="W11" s="123"/>
      <c r="X11" s="77"/>
      <c r="Y11" s="77"/>
    </row>
    <row r="12" spans="2:25" x14ac:dyDescent="0.2">
      <c r="B12" s="99"/>
      <c r="C12" s="52" t="s">
        <v>264</v>
      </c>
      <c r="D12" s="99"/>
      <c r="E12" s="124"/>
      <c r="G12" s="141"/>
      <c r="H12" s="55" t="s">
        <v>215</v>
      </c>
      <c r="I12" s="52" t="s">
        <v>109</v>
      </c>
      <c r="J12" s="55" t="s">
        <v>396</v>
      </c>
      <c r="K12" s="58" t="s">
        <v>369</v>
      </c>
      <c r="L12" s="55" t="s">
        <v>365</v>
      </c>
      <c r="M12" s="123"/>
      <c r="N12" s="53"/>
      <c r="O12" s="53"/>
      <c r="Q12" s="126"/>
      <c r="R12" s="74" t="s">
        <v>229</v>
      </c>
      <c r="S12" s="52" t="s">
        <v>109</v>
      </c>
      <c r="T12" s="55" t="s">
        <v>308</v>
      </c>
      <c r="U12" s="76" t="s">
        <v>343</v>
      </c>
      <c r="V12" s="75" t="s">
        <v>336</v>
      </c>
      <c r="W12" s="123"/>
      <c r="X12" s="77"/>
      <c r="Y12" s="77"/>
    </row>
    <row r="13" spans="2:25" x14ac:dyDescent="0.2">
      <c r="B13" s="97" t="s">
        <v>166</v>
      </c>
      <c r="C13" s="54" t="s">
        <v>272</v>
      </c>
      <c r="D13" s="97" t="s">
        <v>215</v>
      </c>
      <c r="E13" s="122" t="s">
        <v>292</v>
      </c>
      <c r="G13" s="140"/>
      <c r="H13" s="55" t="s">
        <v>215</v>
      </c>
      <c r="I13" s="52" t="s">
        <v>110</v>
      </c>
      <c r="J13" s="55" t="s">
        <v>396</v>
      </c>
      <c r="K13" s="58" t="s">
        <v>370</v>
      </c>
      <c r="L13" s="55" t="s">
        <v>365</v>
      </c>
      <c r="M13" s="124"/>
      <c r="N13" s="53"/>
      <c r="O13" s="53"/>
      <c r="Q13" s="127"/>
      <c r="R13" s="74" t="s">
        <v>229</v>
      </c>
      <c r="S13" s="52" t="s">
        <v>110</v>
      </c>
      <c r="T13" s="55" t="s">
        <v>308</v>
      </c>
      <c r="U13" s="76" t="s">
        <v>347</v>
      </c>
      <c r="V13" s="75" t="s">
        <v>336</v>
      </c>
      <c r="W13" s="124"/>
      <c r="X13" s="77"/>
      <c r="Y13" s="77"/>
    </row>
    <row r="14" spans="2:25" x14ac:dyDescent="0.2">
      <c r="B14" s="98"/>
      <c r="C14" s="52" t="s">
        <v>293</v>
      </c>
      <c r="D14" s="98"/>
      <c r="E14" s="123"/>
      <c r="G14" s="139" t="s">
        <v>422</v>
      </c>
      <c r="H14" s="55" t="s">
        <v>215</v>
      </c>
      <c r="I14" s="58" t="s">
        <v>106</v>
      </c>
      <c r="J14" s="55" t="s">
        <v>396</v>
      </c>
      <c r="K14" s="58" t="s">
        <v>413</v>
      </c>
      <c r="L14" s="55" t="s">
        <v>336</v>
      </c>
      <c r="M14" s="122" t="s">
        <v>418</v>
      </c>
      <c r="N14" s="52" t="s">
        <v>423</v>
      </c>
      <c r="O14" s="53"/>
      <c r="Q14" s="144" t="s">
        <v>434</v>
      </c>
      <c r="R14" s="72" t="s">
        <v>215</v>
      </c>
      <c r="S14" s="58" t="s">
        <v>106</v>
      </c>
      <c r="T14" s="55" t="s">
        <v>258</v>
      </c>
      <c r="U14" s="52" t="s">
        <v>348</v>
      </c>
      <c r="V14" s="75" t="s">
        <v>336</v>
      </c>
      <c r="W14" s="122" t="s">
        <v>444</v>
      </c>
      <c r="X14" s="59" t="s">
        <v>218</v>
      </c>
      <c r="Y14" s="77" t="s">
        <v>329</v>
      </c>
    </row>
    <row r="15" spans="2:25" x14ac:dyDescent="0.2">
      <c r="B15" s="99"/>
      <c r="C15" s="52" t="s">
        <v>264</v>
      </c>
      <c r="D15" s="98"/>
      <c r="E15" s="124"/>
      <c r="G15" s="141"/>
      <c r="H15" s="55" t="s">
        <v>215</v>
      </c>
      <c r="I15" s="52" t="s">
        <v>107</v>
      </c>
      <c r="J15" s="55" t="s">
        <v>396</v>
      </c>
      <c r="K15" s="58" t="s">
        <v>414</v>
      </c>
      <c r="L15" s="55" t="s">
        <v>336</v>
      </c>
      <c r="M15" s="123"/>
      <c r="N15" s="53"/>
      <c r="O15" s="53"/>
      <c r="Q15" s="145"/>
      <c r="R15" s="72" t="s">
        <v>215</v>
      </c>
      <c r="S15" s="52" t="s">
        <v>107</v>
      </c>
      <c r="T15" s="55" t="s">
        <v>258</v>
      </c>
      <c r="U15" s="52" t="s">
        <v>349</v>
      </c>
      <c r="V15" s="75" t="s">
        <v>336</v>
      </c>
      <c r="W15" s="123"/>
      <c r="X15" s="77" t="s">
        <v>393</v>
      </c>
      <c r="Y15" s="77"/>
    </row>
    <row r="16" spans="2:25" ht="12.75" customHeight="1" x14ac:dyDescent="0.2">
      <c r="B16" s="97" t="s">
        <v>271</v>
      </c>
      <c r="C16" s="54" t="s">
        <v>277</v>
      </c>
      <c r="D16" s="129" t="s">
        <v>215</v>
      </c>
      <c r="E16" s="122" t="s">
        <v>295</v>
      </c>
      <c r="G16" s="141"/>
      <c r="H16" s="55" t="s">
        <v>215</v>
      </c>
      <c r="I16" s="52" t="s">
        <v>108</v>
      </c>
      <c r="J16" s="55" t="s">
        <v>396</v>
      </c>
      <c r="K16" s="58" t="s">
        <v>415</v>
      </c>
      <c r="L16" s="55" t="s">
        <v>336</v>
      </c>
      <c r="M16" s="123"/>
      <c r="N16" s="53"/>
      <c r="O16" s="53"/>
      <c r="Q16" s="145"/>
      <c r="R16" s="72" t="s">
        <v>215</v>
      </c>
      <c r="S16" s="52" t="s">
        <v>108</v>
      </c>
      <c r="T16" s="55" t="s">
        <v>258</v>
      </c>
      <c r="U16" s="52" t="s">
        <v>319</v>
      </c>
      <c r="V16" s="75" t="s">
        <v>336</v>
      </c>
      <c r="W16" s="123"/>
      <c r="X16" s="77"/>
      <c r="Y16" s="77"/>
    </row>
    <row r="17" spans="2:25" x14ac:dyDescent="0.2">
      <c r="B17" s="98"/>
      <c r="C17" s="52" t="s">
        <v>294</v>
      </c>
      <c r="D17" s="129"/>
      <c r="E17" s="123"/>
      <c r="G17" s="141"/>
      <c r="H17" s="55" t="s">
        <v>215</v>
      </c>
      <c r="I17" s="52" t="s">
        <v>109</v>
      </c>
      <c r="J17" s="55" t="s">
        <v>396</v>
      </c>
      <c r="K17" s="58" t="s">
        <v>416</v>
      </c>
      <c r="L17" s="55" t="s">
        <v>336</v>
      </c>
      <c r="M17" s="123"/>
      <c r="N17" s="53"/>
      <c r="O17" s="53"/>
      <c r="Q17" s="145"/>
      <c r="R17" s="72" t="s">
        <v>215</v>
      </c>
      <c r="S17" s="52" t="s">
        <v>109</v>
      </c>
      <c r="T17" s="55" t="s">
        <v>258</v>
      </c>
      <c r="U17" s="52" t="s">
        <v>328</v>
      </c>
      <c r="V17" s="75" t="s">
        <v>336</v>
      </c>
      <c r="W17" s="123"/>
      <c r="X17" s="77"/>
      <c r="Y17" s="77"/>
    </row>
    <row r="18" spans="2:25" x14ac:dyDescent="0.2">
      <c r="B18" s="99"/>
      <c r="C18" s="52" t="s">
        <v>261</v>
      </c>
      <c r="D18" s="129"/>
      <c r="E18" s="124"/>
      <c r="G18" s="140"/>
      <c r="H18" s="55" t="s">
        <v>215</v>
      </c>
      <c r="I18" s="52" t="s">
        <v>110</v>
      </c>
      <c r="J18" s="55" t="s">
        <v>396</v>
      </c>
      <c r="K18" s="58" t="s">
        <v>417</v>
      </c>
      <c r="L18" s="55" t="s">
        <v>336</v>
      </c>
      <c r="M18" s="124"/>
      <c r="N18" s="53"/>
      <c r="O18" s="53"/>
      <c r="Q18" s="146"/>
      <c r="R18" s="72" t="s">
        <v>215</v>
      </c>
      <c r="S18" s="52" t="s">
        <v>110</v>
      </c>
      <c r="T18" s="55" t="s">
        <v>258</v>
      </c>
      <c r="U18" s="52" t="s">
        <v>320</v>
      </c>
      <c r="V18" s="75" t="s">
        <v>336</v>
      </c>
      <c r="W18" s="124"/>
      <c r="X18" s="77"/>
      <c r="Y18" s="77"/>
    </row>
    <row r="19" spans="2:25" x14ac:dyDescent="0.2">
      <c r="B19" s="97" t="s">
        <v>274</v>
      </c>
      <c r="C19" s="54" t="s">
        <v>272</v>
      </c>
      <c r="D19" s="129" t="s">
        <v>215</v>
      </c>
      <c r="E19" s="122" t="s">
        <v>296</v>
      </c>
      <c r="G19" s="139" t="s">
        <v>317</v>
      </c>
      <c r="H19" s="72" t="s">
        <v>215</v>
      </c>
      <c r="I19" s="58" t="s">
        <v>106</v>
      </c>
      <c r="J19" s="55" t="s">
        <v>309</v>
      </c>
      <c r="K19" s="58" t="s">
        <v>311</v>
      </c>
      <c r="L19" s="75" t="s">
        <v>258</v>
      </c>
      <c r="M19" s="122" t="s">
        <v>449</v>
      </c>
      <c r="N19" s="59" t="s">
        <v>316</v>
      </c>
      <c r="O19" s="59"/>
      <c r="P19" s="44"/>
      <c r="Q19" s="144" t="s">
        <v>435</v>
      </c>
      <c r="R19" s="74" t="s">
        <v>229</v>
      </c>
      <c r="S19" s="58" t="s">
        <v>106</v>
      </c>
      <c r="T19" s="55" t="s">
        <v>308</v>
      </c>
      <c r="U19" s="52" t="s">
        <v>347</v>
      </c>
      <c r="V19" s="75" t="s">
        <v>336</v>
      </c>
      <c r="W19" s="147" t="s">
        <v>445</v>
      </c>
      <c r="X19" s="77" t="s">
        <v>408</v>
      </c>
      <c r="Y19" s="77"/>
    </row>
    <row r="20" spans="2:25" x14ac:dyDescent="0.2">
      <c r="B20" s="98"/>
      <c r="C20" s="52" t="s">
        <v>275</v>
      </c>
      <c r="D20" s="129"/>
      <c r="E20" s="123"/>
      <c r="G20" s="141"/>
      <c r="H20" s="72" t="s">
        <v>215</v>
      </c>
      <c r="I20" s="52" t="s">
        <v>107</v>
      </c>
      <c r="J20" s="55" t="s">
        <v>309</v>
      </c>
      <c r="K20" s="58" t="s">
        <v>312</v>
      </c>
      <c r="L20" s="75" t="s">
        <v>258</v>
      </c>
      <c r="M20" s="123"/>
      <c r="N20" s="59" t="s">
        <v>337</v>
      </c>
      <c r="O20" s="59"/>
      <c r="Q20" s="145"/>
      <c r="R20" s="74" t="s">
        <v>229</v>
      </c>
      <c r="S20" s="52" t="s">
        <v>107</v>
      </c>
      <c r="T20" s="55" t="s">
        <v>308</v>
      </c>
      <c r="U20" s="52" t="s">
        <v>219</v>
      </c>
      <c r="V20" s="75" t="s">
        <v>336</v>
      </c>
      <c r="W20" s="148"/>
      <c r="X20" s="77"/>
      <c r="Y20" s="77"/>
    </row>
    <row r="21" spans="2:25" x14ac:dyDescent="0.2">
      <c r="B21" s="99"/>
      <c r="C21" s="52" t="s">
        <v>264</v>
      </c>
      <c r="D21" s="129"/>
      <c r="E21" s="124"/>
      <c r="G21" s="141"/>
      <c r="H21" s="72" t="s">
        <v>215</v>
      </c>
      <c r="I21" s="52" t="s">
        <v>108</v>
      </c>
      <c r="J21" s="55" t="s">
        <v>309</v>
      </c>
      <c r="K21" s="58" t="s">
        <v>313</v>
      </c>
      <c r="L21" s="75" t="s">
        <v>258</v>
      </c>
      <c r="M21" s="123"/>
      <c r="N21" s="53"/>
      <c r="O21" s="53"/>
      <c r="Q21" s="145"/>
      <c r="R21" s="74" t="s">
        <v>229</v>
      </c>
      <c r="S21" s="52" t="s">
        <v>108</v>
      </c>
      <c r="T21" s="55" t="s">
        <v>308</v>
      </c>
      <c r="U21" s="52" t="s">
        <v>220</v>
      </c>
      <c r="V21" s="75" t="s">
        <v>336</v>
      </c>
      <c r="W21" s="148"/>
      <c r="X21" s="77"/>
      <c r="Y21" s="77"/>
    </row>
    <row r="22" spans="2:25" x14ac:dyDescent="0.2">
      <c r="B22" s="97" t="s">
        <v>278</v>
      </c>
      <c r="C22" s="69" t="s">
        <v>279</v>
      </c>
      <c r="D22" s="129" t="s">
        <v>215</v>
      </c>
      <c r="E22" s="122" t="s">
        <v>282</v>
      </c>
      <c r="G22" s="141"/>
      <c r="H22" s="72" t="s">
        <v>215</v>
      </c>
      <c r="I22" s="52" t="s">
        <v>109</v>
      </c>
      <c r="J22" s="55" t="s">
        <v>309</v>
      </c>
      <c r="K22" s="58" t="s">
        <v>314</v>
      </c>
      <c r="L22" s="75" t="s">
        <v>258</v>
      </c>
      <c r="M22" s="123"/>
      <c r="N22" s="53"/>
      <c r="O22" s="53"/>
      <c r="Q22" s="145"/>
      <c r="R22" s="74" t="s">
        <v>229</v>
      </c>
      <c r="S22" s="52" t="s">
        <v>109</v>
      </c>
      <c r="T22" s="55" t="s">
        <v>308</v>
      </c>
      <c r="U22" s="52" t="s">
        <v>221</v>
      </c>
      <c r="V22" s="75" t="s">
        <v>336</v>
      </c>
      <c r="W22" s="148"/>
      <c r="X22" s="77"/>
      <c r="Y22" s="77"/>
    </row>
    <row r="23" spans="2:25" x14ac:dyDescent="0.2">
      <c r="B23" s="98"/>
      <c r="C23" s="60" t="s">
        <v>280</v>
      </c>
      <c r="D23" s="129"/>
      <c r="E23" s="123"/>
      <c r="G23" s="140"/>
      <c r="H23" s="72" t="s">
        <v>215</v>
      </c>
      <c r="I23" s="52" t="s">
        <v>110</v>
      </c>
      <c r="J23" s="55" t="s">
        <v>309</v>
      </c>
      <c r="K23" s="58" t="s">
        <v>315</v>
      </c>
      <c r="L23" s="75" t="s">
        <v>258</v>
      </c>
      <c r="M23" s="124"/>
      <c r="N23" s="53"/>
      <c r="O23" s="53"/>
      <c r="Q23" s="146"/>
      <c r="R23" s="74" t="s">
        <v>229</v>
      </c>
      <c r="S23" s="52" t="s">
        <v>110</v>
      </c>
      <c r="T23" s="55" t="s">
        <v>308</v>
      </c>
      <c r="U23" s="52" t="s">
        <v>222</v>
      </c>
      <c r="V23" s="75" t="s">
        <v>336</v>
      </c>
      <c r="W23" s="149"/>
      <c r="X23" s="77"/>
      <c r="Y23" s="77"/>
    </row>
    <row r="24" spans="2:25" ht="12.75" customHeight="1" x14ac:dyDescent="0.2">
      <c r="B24" s="98"/>
      <c r="C24" s="68" t="s">
        <v>281</v>
      </c>
      <c r="D24" s="129"/>
      <c r="E24" s="123"/>
      <c r="G24" s="139" t="s">
        <v>389</v>
      </c>
      <c r="H24" s="55" t="s">
        <v>215</v>
      </c>
      <c r="I24" s="58" t="s">
        <v>106</v>
      </c>
      <c r="J24" s="55" t="s">
        <v>382</v>
      </c>
      <c r="K24" s="58" t="s">
        <v>383</v>
      </c>
      <c r="L24" s="55" t="s">
        <v>336</v>
      </c>
      <c r="M24" s="122" t="s">
        <v>394</v>
      </c>
      <c r="N24" s="59" t="s">
        <v>395</v>
      </c>
      <c r="O24" s="59"/>
      <c r="Q24" s="143" t="s">
        <v>377</v>
      </c>
      <c r="R24" s="55" t="s">
        <v>229</v>
      </c>
      <c r="S24" s="58" t="s">
        <v>106</v>
      </c>
      <c r="T24" s="55" t="s">
        <v>258</v>
      </c>
      <c r="U24" s="52" t="s">
        <v>373</v>
      </c>
      <c r="V24" s="78" t="s">
        <v>376</v>
      </c>
      <c r="W24" s="128" t="s">
        <v>446</v>
      </c>
      <c r="X24" s="59" t="s">
        <v>379</v>
      </c>
      <c r="Y24" s="77"/>
    </row>
    <row r="25" spans="2:25" x14ac:dyDescent="0.2">
      <c r="B25" s="99"/>
      <c r="C25" s="68" t="s">
        <v>261</v>
      </c>
      <c r="D25" s="129"/>
      <c r="E25" s="124"/>
      <c r="G25" s="141"/>
      <c r="H25" s="55" t="s">
        <v>215</v>
      </c>
      <c r="I25" s="52" t="s">
        <v>107</v>
      </c>
      <c r="J25" s="55" t="s">
        <v>382</v>
      </c>
      <c r="K25" s="58" t="s">
        <v>384</v>
      </c>
      <c r="L25" s="55" t="s">
        <v>336</v>
      </c>
      <c r="M25" s="123"/>
      <c r="N25" s="53"/>
      <c r="O25" s="53"/>
      <c r="Q25" s="143"/>
      <c r="R25" s="55" t="s">
        <v>229</v>
      </c>
      <c r="S25" s="52" t="s">
        <v>107</v>
      </c>
      <c r="T25" s="55" t="s">
        <v>258</v>
      </c>
      <c r="U25" s="52" t="s">
        <v>372</v>
      </c>
      <c r="V25" s="78" t="s">
        <v>376</v>
      </c>
      <c r="W25" s="128"/>
      <c r="X25" s="77"/>
      <c r="Y25" s="77"/>
    </row>
    <row r="26" spans="2:25" x14ac:dyDescent="0.2">
      <c r="B26" s="139" t="s">
        <v>167</v>
      </c>
      <c r="C26" s="70" t="s">
        <v>289</v>
      </c>
      <c r="D26" s="97" t="s">
        <v>215</v>
      </c>
      <c r="E26" s="122" t="s">
        <v>283</v>
      </c>
      <c r="G26" s="141"/>
      <c r="H26" s="55" t="s">
        <v>215</v>
      </c>
      <c r="I26" s="52" t="s">
        <v>108</v>
      </c>
      <c r="J26" s="55" t="s">
        <v>382</v>
      </c>
      <c r="K26" s="58" t="s">
        <v>385</v>
      </c>
      <c r="L26" s="55" t="s">
        <v>336</v>
      </c>
      <c r="M26" s="123"/>
      <c r="N26" s="53"/>
      <c r="O26" s="53"/>
      <c r="Q26" s="143"/>
      <c r="R26" s="55" t="s">
        <v>229</v>
      </c>
      <c r="S26" s="52" t="s">
        <v>108</v>
      </c>
      <c r="T26" s="55" t="s">
        <v>258</v>
      </c>
      <c r="U26" s="52" t="s">
        <v>374</v>
      </c>
      <c r="V26" s="78" t="s">
        <v>376</v>
      </c>
      <c r="W26" s="128"/>
      <c r="X26" s="77"/>
      <c r="Y26" s="77"/>
    </row>
    <row r="27" spans="2:25" x14ac:dyDescent="0.2">
      <c r="B27" s="140"/>
      <c r="C27" s="60" t="s">
        <v>264</v>
      </c>
      <c r="D27" s="99"/>
      <c r="E27" s="124"/>
      <c r="G27" s="141"/>
      <c r="H27" s="55" t="s">
        <v>215</v>
      </c>
      <c r="I27" s="52" t="s">
        <v>109</v>
      </c>
      <c r="J27" s="55" t="s">
        <v>382</v>
      </c>
      <c r="K27" s="58" t="s">
        <v>386</v>
      </c>
      <c r="L27" s="55" t="s">
        <v>336</v>
      </c>
      <c r="M27" s="123"/>
      <c r="N27" s="53"/>
      <c r="O27" s="53"/>
      <c r="Q27" s="143"/>
      <c r="R27" s="55" t="s">
        <v>229</v>
      </c>
      <c r="S27" s="52" t="s">
        <v>109</v>
      </c>
      <c r="T27" s="55" t="s">
        <v>258</v>
      </c>
      <c r="U27" s="52" t="s">
        <v>375</v>
      </c>
      <c r="V27" s="78" t="s">
        <v>376</v>
      </c>
      <c r="W27" s="128"/>
      <c r="X27" s="77"/>
      <c r="Y27" s="77"/>
    </row>
    <row r="28" spans="2:25" x14ac:dyDescent="0.2">
      <c r="B28" s="97" t="s">
        <v>168</v>
      </c>
      <c r="C28" s="70" t="s">
        <v>284</v>
      </c>
      <c r="D28" s="97" t="s">
        <v>215</v>
      </c>
      <c r="E28" s="122" t="s">
        <v>298</v>
      </c>
      <c r="G28" s="140"/>
      <c r="H28" s="55" t="s">
        <v>215</v>
      </c>
      <c r="I28" s="52" t="s">
        <v>110</v>
      </c>
      <c r="J28" s="55" t="s">
        <v>382</v>
      </c>
      <c r="K28" s="58" t="s">
        <v>387</v>
      </c>
      <c r="L28" s="55" t="s">
        <v>336</v>
      </c>
      <c r="M28" s="124"/>
      <c r="N28" s="53"/>
      <c r="O28" s="53"/>
      <c r="Q28" s="143"/>
      <c r="R28" s="55" t="s">
        <v>229</v>
      </c>
      <c r="S28" s="52" t="s">
        <v>110</v>
      </c>
      <c r="T28" s="55" t="s">
        <v>258</v>
      </c>
      <c r="U28" s="52" t="s">
        <v>371</v>
      </c>
      <c r="V28" s="78" t="s">
        <v>376</v>
      </c>
      <c r="W28" s="128"/>
      <c r="X28" s="77"/>
      <c r="Y28" s="77"/>
    </row>
    <row r="29" spans="2:25" ht="12.75" customHeight="1" x14ac:dyDescent="0.2">
      <c r="B29" s="98"/>
      <c r="C29" s="60" t="s">
        <v>297</v>
      </c>
      <c r="D29" s="98"/>
      <c r="E29" s="123"/>
      <c r="G29" s="139" t="s">
        <v>399</v>
      </c>
      <c r="H29" s="55" t="s">
        <v>215</v>
      </c>
      <c r="I29" s="58" t="s">
        <v>106</v>
      </c>
      <c r="J29" s="55" t="s">
        <v>95</v>
      </c>
      <c r="K29" s="58" t="s">
        <v>402</v>
      </c>
      <c r="L29" s="55" t="s">
        <v>258</v>
      </c>
      <c r="M29" s="122" t="s">
        <v>419</v>
      </c>
      <c r="N29" s="59" t="s">
        <v>406</v>
      </c>
      <c r="O29" s="59"/>
      <c r="Q29" s="143" t="s">
        <v>436</v>
      </c>
      <c r="R29" s="55" t="s">
        <v>215</v>
      </c>
      <c r="S29" s="58" t="s">
        <v>106</v>
      </c>
      <c r="T29" s="55" t="s">
        <v>258</v>
      </c>
      <c r="U29" s="58" t="s">
        <v>437</v>
      </c>
      <c r="V29" s="78" t="s">
        <v>258</v>
      </c>
      <c r="W29" s="128" t="s">
        <v>447</v>
      </c>
      <c r="X29" s="59"/>
      <c r="Y29" s="77"/>
    </row>
    <row r="30" spans="2:25" x14ac:dyDescent="0.2">
      <c r="B30" s="99"/>
      <c r="C30" s="60" t="s">
        <v>261</v>
      </c>
      <c r="D30" s="99"/>
      <c r="E30" s="124"/>
      <c r="G30" s="141"/>
      <c r="H30" s="55" t="s">
        <v>215</v>
      </c>
      <c r="I30" s="52" t="s">
        <v>107</v>
      </c>
      <c r="J30" s="55" t="s">
        <v>95</v>
      </c>
      <c r="K30" s="58" t="s">
        <v>404</v>
      </c>
      <c r="L30" s="55" t="s">
        <v>258</v>
      </c>
      <c r="M30" s="123"/>
      <c r="N30" s="53"/>
      <c r="O30" s="53"/>
      <c r="Q30" s="143"/>
      <c r="R30" s="55" t="s">
        <v>215</v>
      </c>
      <c r="S30" s="52" t="s">
        <v>107</v>
      </c>
      <c r="T30" s="55" t="s">
        <v>258</v>
      </c>
      <c r="U30" s="58" t="s">
        <v>438</v>
      </c>
      <c r="V30" s="78" t="s">
        <v>258</v>
      </c>
      <c r="W30" s="128"/>
      <c r="X30" s="77"/>
      <c r="Y30" s="77"/>
    </row>
    <row r="31" spans="2:25" ht="14.25" x14ac:dyDescent="0.2">
      <c r="B31" s="130" t="s">
        <v>169</v>
      </c>
      <c r="C31" s="71" t="s">
        <v>285</v>
      </c>
      <c r="D31" s="130" t="s">
        <v>215</v>
      </c>
      <c r="E31" s="133" t="s">
        <v>305</v>
      </c>
      <c r="G31" s="141"/>
      <c r="H31" s="55" t="s">
        <v>215</v>
      </c>
      <c r="I31" s="52" t="s">
        <v>108</v>
      </c>
      <c r="J31" s="55" t="s">
        <v>95</v>
      </c>
      <c r="K31" s="58" t="s">
        <v>401</v>
      </c>
      <c r="L31" s="55" t="s">
        <v>258</v>
      </c>
      <c r="M31" s="123"/>
      <c r="N31" s="53"/>
      <c r="O31" s="53"/>
      <c r="Q31" s="143"/>
      <c r="R31" s="55" t="s">
        <v>215</v>
      </c>
      <c r="S31" s="52" t="s">
        <v>108</v>
      </c>
      <c r="T31" s="55" t="s">
        <v>258</v>
      </c>
      <c r="U31" s="58" t="s">
        <v>439</v>
      </c>
      <c r="V31" s="78" t="s">
        <v>258</v>
      </c>
      <c r="W31" s="128"/>
      <c r="X31" s="77"/>
      <c r="Y31" s="77"/>
    </row>
    <row r="32" spans="2:25" ht="14.25" x14ac:dyDescent="0.2">
      <c r="B32" s="131"/>
      <c r="C32" s="71" t="s">
        <v>273</v>
      </c>
      <c r="D32" s="131"/>
      <c r="E32" s="134"/>
      <c r="G32" s="141"/>
      <c r="H32" s="55" t="s">
        <v>215</v>
      </c>
      <c r="I32" s="52" t="s">
        <v>109</v>
      </c>
      <c r="J32" s="55" t="s">
        <v>95</v>
      </c>
      <c r="K32" s="58" t="s">
        <v>403</v>
      </c>
      <c r="L32" s="55" t="s">
        <v>258</v>
      </c>
      <c r="M32" s="123"/>
      <c r="N32" s="53"/>
      <c r="O32" s="53"/>
      <c r="Q32" s="143"/>
      <c r="R32" s="55" t="s">
        <v>215</v>
      </c>
      <c r="S32" s="52" t="s">
        <v>109</v>
      </c>
      <c r="T32" s="55" t="s">
        <v>258</v>
      </c>
      <c r="U32" s="58" t="s">
        <v>440</v>
      </c>
      <c r="V32" s="78" t="s">
        <v>258</v>
      </c>
      <c r="W32" s="128"/>
      <c r="X32" s="77"/>
      <c r="Y32" s="77"/>
    </row>
    <row r="33" spans="2:25" ht="14.25" x14ac:dyDescent="0.2">
      <c r="B33" s="132"/>
      <c r="C33" s="71" t="s">
        <v>261</v>
      </c>
      <c r="D33" s="132"/>
      <c r="E33" s="135"/>
      <c r="G33" s="140"/>
      <c r="H33" s="55" t="s">
        <v>215</v>
      </c>
      <c r="I33" s="52" t="s">
        <v>110</v>
      </c>
      <c r="J33" s="55" t="s">
        <v>95</v>
      </c>
      <c r="K33" s="58" t="s">
        <v>405</v>
      </c>
      <c r="L33" s="55" t="s">
        <v>258</v>
      </c>
      <c r="M33" s="124"/>
      <c r="N33" s="53"/>
      <c r="O33" s="53"/>
      <c r="Q33" s="143"/>
      <c r="R33" s="55" t="s">
        <v>215</v>
      </c>
      <c r="S33" s="52" t="s">
        <v>110</v>
      </c>
      <c r="T33" s="55" t="s">
        <v>258</v>
      </c>
      <c r="U33" s="58" t="s">
        <v>441</v>
      </c>
      <c r="V33" s="78" t="s">
        <v>258</v>
      </c>
      <c r="W33" s="128"/>
      <c r="X33" s="77"/>
      <c r="Y33" s="77"/>
    </row>
    <row r="34" spans="2:25" ht="14.25" x14ac:dyDescent="0.2">
      <c r="B34" s="130" t="s">
        <v>170</v>
      </c>
      <c r="C34" s="71" t="s">
        <v>286</v>
      </c>
      <c r="D34" s="130" t="s">
        <v>215</v>
      </c>
      <c r="E34" s="133" t="s">
        <v>306</v>
      </c>
      <c r="G34" s="139"/>
      <c r="H34" s="55"/>
      <c r="I34" s="58" t="s">
        <v>106</v>
      </c>
      <c r="J34" s="55"/>
      <c r="K34" s="58"/>
      <c r="L34" s="55"/>
      <c r="M34" s="142"/>
      <c r="N34" s="59"/>
      <c r="O34" s="59"/>
      <c r="Q34" s="143"/>
      <c r="R34" s="55"/>
      <c r="S34" s="58" t="s">
        <v>106</v>
      </c>
      <c r="T34" s="55"/>
      <c r="U34" s="55"/>
      <c r="V34" s="78"/>
      <c r="W34" s="128"/>
      <c r="X34" s="59"/>
      <c r="Y34" s="77"/>
    </row>
    <row r="35" spans="2:25" ht="14.25" x14ac:dyDescent="0.2">
      <c r="B35" s="131"/>
      <c r="C35" s="71" t="s">
        <v>300</v>
      </c>
      <c r="D35" s="131"/>
      <c r="E35" s="134"/>
      <c r="G35" s="141"/>
      <c r="H35" s="55"/>
      <c r="I35" s="52" t="s">
        <v>107</v>
      </c>
      <c r="J35" s="55"/>
      <c r="K35" s="58"/>
      <c r="L35" s="55"/>
      <c r="M35" s="142"/>
      <c r="N35" s="53"/>
      <c r="O35" s="53"/>
      <c r="Q35" s="143"/>
      <c r="R35" s="55"/>
      <c r="S35" s="52" t="s">
        <v>107</v>
      </c>
      <c r="T35" s="55"/>
      <c r="U35" s="55"/>
      <c r="V35" s="78"/>
      <c r="W35" s="128"/>
      <c r="X35" s="77"/>
      <c r="Y35" s="77"/>
    </row>
    <row r="36" spans="2:25" ht="14.25" x14ac:dyDescent="0.2">
      <c r="B36" s="132"/>
      <c r="C36" s="71" t="s">
        <v>261</v>
      </c>
      <c r="D36" s="132"/>
      <c r="E36" s="135"/>
      <c r="G36" s="141"/>
      <c r="H36" s="55"/>
      <c r="I36" s="52" t="s">
        <v>108</v>
      </c>
      <c r="J36" s="55"/>
      <c r="K36" s="58"/>
      <c r="L36" s="55"/>
      <c r="M36" s="142"/>
      <c r="N36" s="53"/>
      <c r="O36" s="53"/>
      <c r="Q36" s="143"/>
      <c r="R36" s="55"/>
      <c r="S36" s="52" t="s">
        <v>108</v>
      </c>
      <c r="T36" s="55"/>
      <c r="U36" s="55"/>
      <c r="V36" s="78"/>
      <c r="W36" s="128"/>
      <c r="X36" s="77"/>
      <c r="Y36" s="77"/>
    </row>
    <row r="37" spans="2:25" ht="14.25" x14ac:dyDescent="0.2">
      <c r="B37" s="136" t="s">
        <v>171</v>
      </c>
      <c r="C37" s="71" t="s">
        <v>287</v>
      </c>
      <c r="D37" s="130" t="s">
        <v>215</v>
      </c>
      <c r="E37" s="133" t="s">
        <v>307</v>
      </c>
      <c r="G37" s="141"/>
      <c r="H37" s="55"/>
      <c r="I37" s="52" t="s">
        <v>109</v>
      </c>
      <c r="J37" s="55"/>
      <c r="K37" s="58"/>
      <c r="L37" s="55"/>
      <c r="M37" s="142"/>
      <c r="N37" s="53"/>
      <c r="O37" s="53"/>
      <c r="Q37" s="143"/>
      <c r="R37" s="55"/>
      <c r="S37" s="52" t="s">
        <v>109</v>
      </c>
      <c r="T37" s="55"/>
      <c r="U37" s="55"/>
      <c r="V37" s="78"/>
      <c r="W37" s="128"/>
      <c r="X37" s="77"/>
      <c r="Y37" s="77"/>
    </row>
    <row r="38" spans="2:25" ht="14.25" x14ac:dyDescent="0.2">
      <c r="B38" s="137"/>
      <c r="C38" s="71" t="s">
        <v>299</v>
      </c>
      <c r="D38" s="131"/>
      <c r="E38" s="134"/>
      <c r="G38" s="140"/>
      <c r="H38" s="55"/>
      <c r="I38" s="52" t="s">
        <v>110</v>
      </c>
      <c r="J38" s="55"/>
      <c r="K38" s="58"/>
      <c r="L38" s="55"/>
      <c r="M38" s="142"/>
      <c r="N38" s="53"/>
      <c r="O38" s="53"/>
      <c r="Q38" s="143"/>
      <c r="R38" s="55"/>
      <c r="S38" s="52" t="s">
        <v>110</v>
      </c>
      <c r="T38" s="55"/>
      <c r="U38" s="55"/>
      <c r="V38" s="78"/>
      <c r="W38" s="128"/>
      <c r="X38" s="77"/>
      <c r="Y38" s="77"/>
    </row>
    <row r="39" spans="2:25" ht="14.25" x14ac:dyDescent="0.2">
      <c r="B39" s="138"/>
      <c r="C39" s="71" t="s">
        <v>261</v>
      </c>
      <c r="D39" s="132"/>
      <c r="E39" s="135"/>
      <c r="G39" s="139"/>
      <c r="H39" s="55"/>
      <c r="I39" s="58" t="s">
        <v>106</v>
      </c>
      <c r="J39" s="55"/>
      <c r="K39" s="58"/>
      <c r="L39" s="55"/>
      <c r="M39" s="142"/>
      <c r="N39" s="59"/>
      <c r="O39" s="59"/>
      <c r="Q39" s="143"/>
      <c r="R39" s="55"/>
      <c r="S39" s="58" t="s">
        <v>106</v>
      </c>
      <c r="T39" s="55"/>
      <c r="U39" s="55"/>
      <c r="V39" s="78"/>
      <c r="W39" s="128"/>
      <c r="X39" s="59"/>
      <c r="Y39" s="77"/>
    </row>
    <row r="40" spans="2:25" x14ac:dyDescent="0.2">
      <c r="B40" s="97" t="s">
        <v>172</v>
      </c>
      <c r="C40" s="70" t="s">
        <v>301</v>
      </c>
      <c r="D40" s="97" t="s">
        <v>215</v>
      </c>
      <c r="E40" s="128" t="s">
        <v>304</v>
      </c>
      <c r="G40" s="141"/>
      <c r="H40" s="55"/>
      <c r="I40" s="52" t="s">
        <v>107</v>
      </c>
      <c r="J40" s="55"/>
      <c r="K40" s="58"/>
      <c r="L40" s="55"/>
      <c r="M40" s="142"/>
      <c r="N40" s="53"/>
      <c r="O40" s="53"/>
      <c r="Q40" s="143"/>
      <c r="R40" s="55"/>
      <c r="S40" s="52" t="s">
        <v>107</v>
      </c>
      <c r="T40" s="55"/>
      <c r="U40" s="55"/>
      <c r="V40" s="78"/>
      <c r="W40" s="128"/>
      <c r="X40" s="77"/>
      <c r="Y40" s="77"/>
    </row>
    <row r="41" spans="2:25" x14ac:dyDescent="0.2">
      <c r="B41" s="98"/>
      <c r="C41" s="60" t="s">
        <v>302</v>
      </c>
      <c r="D41" s="98"/>
      <c r="E41" s="128"/>
      <c r="G41" s="141"/>
      <c r="H41" s="55"/>
      <c r="I41" s="52" t="s">
        <v>108</v>
      </c>
      <c r="J41" s="55"/>
      <c r="K41" s="58"/>
      <c r="L41" s="55"/>
      <c r="M41" s="142"/>
      <c r="N41" s="53"/>
      <c r="O41" s="53"/>
      <c r="Q41" s="143"/>
      <c r="R41" s="55"/>
      <c r="S41" s="52" t="s">
        <v>108</v>
      </c>
      <c r="T41" s="55"/>
      <c r="U41" s="55"/>
      <c r="V41" s="78"/>
      <c r="W41" s="128"/>
      <c r="X41" s="77"/>
      <c r="Y41" s="77"/>
    </row>
    <row r="42" spans="2:25" x14ac:dyDescent="0.2">
      <c r="B42" s="99"/>
      <c r="C42" s="60" t="s">
        <v>303</v>
      </c>
      <c r="D42" s="99"/>
      <c r="E42" s="128"/>
      <c r="G42" s="141"/>
      <c r="H42" s="55"/>
      <c r="I42" s="52" t="s">
        <v>109</v>
      </c>
      <c r="J42" s="55"/>
      <c r="K42" s="58"/>
      <c r="L42" s="55"/>
      <c r="M42" s="142"/>
      <c r="N42" s="53"/>
      <c r="O42" s="53"/>
      <c r="Q42" s="143"/>
      <c r="R42" s="55"/>
      <c r="S42" s="52" t="s">
        <v>109</v>
      </c>
      <c r="T42" s="55"/>
      <c r="U42" s="55"/>
      <c r="V42" s="78"/>
      <c r="W42" s="128"/>
      <c r="X42" s="77"/>
      <c r="Y42" s="77"/>
    </row>
    <row r="43" spans="2:25" x14ac:dyDescent="0.2">
      <c r="G43" s="140"/>
      <c r="H43" s="55"/>
      <c r="I43" s="52" t="s">
        <v>110</v>
      </c>
      <c r="J43" s="55"/>
      <c r="K43" s="58"/>
      <c r="L43" s="55"/>
      <c r="M43" s="142"/>
      <c r="N43" s="53"/>
      <c r="O43" s="53"/>
      <c r="Q43" s="143"/>
      <c r="R43" s="55"/>
      <c r="S43" s="52" t="s">
        <v>110</v>
      </c>
      <c r="T43" s="55"/>
      <c r="U43" s="55"/>
      <c r="V43" s="78"/>
      <c r="W43" s="128"/>
      <c r="X43" s="77"/>
      <c r="Y43" s="77"/>
    </row>
    <row r="44" spans="2:25" ht="15.75" x14ac:dyDescent="0.2">
      <c r="B44" s="21" t="s">
        <v>187</v>
      </c>
      <c r="C44" s="23"/>
      <c r="D44" s="23"/>
      <c r="E44" s="23"/>
      <c r="G44" s="139"/>
      <c r="H44" s="55"/>
      <c r="I44" s="58" t="s">
        <v>106</v>
      </c>
      <c r="J44" s="55"/>
      <c r="K44" s="58"/>
      <c r="L44" s="55"/>
      <c r="M44" s="142"/>
      <c r="N44" s="59"/>
      <c r="O44" s="59"/>
      <c r="Q44" s="143"/>
      <c r="R44" s="55"/>
      <c r="S44" s="58" t="s">
        <v>106</v>
      </c>
      <c r="T44" s="55"/>
      <c r="U44" s="55"/>
      <c r="V44" s="78"/>
      <c r="W44" s="128"/>
      <c r="X44" s="59"/>
      <c r="Y44" s="77"/>
    </row>
    <row r="45" spans="2:25" x14ac:dyDescent="0.2">
      <c r="B45" s="26" t="s">
        <v>92</v>
      </c>
      <c r="C45" s="26" t="s">
        <v>163</v>
      </c>
      <c r="D45" s="26"/>
      <c r="E45" s="26" t="s">
        <v>84</v>
      </c>
      <c r="G45" s="141"/>
      <c r="H45" s="55"/>
      <c r="I45" s="52" t="s">
        <v>107</v>
      </c>
      <c r="J45" s="55"/>
      <c r="K45" s="58"/>
      <c r="L45" s="55"/>
      <c r="M45" s="142"/>
      <c r="N45" s="53"/>
      <c r="O45" s="53"/>
      <c r="Q45" s="143"/>
      <c r="R45" s="55"/>
      <c r="S45" s="52" t="s">
        <v>107</v>
      </c>
      <c r="T45" s="55"/>
      <c r="U45" s="55"/>
      <c r="V45" s="78"/>
      <c r="W45" s="128"/>
      <c r="X45" s="77"/>
      <c r="Y45" s="77"/>
    </row>
    <row r="46" spans="2:25" x14ac:dyDescent="0.2">
      <c r="B46" s="58" t="s">
        <v>173</v>
      </c>
      <c r="C46" s="53"/>
      <c r="D46" s="53"/>
      <c r="E46" s="57" t="s">
        <v>180</v>
      </c>
      <c r="G46" s="141"/>
      <c r="H46" s="55"/>
      <c r="I46" s="52" t="s">
        <v>108</v>
      </c>
      <c r="J46" s="55"/>
      <c r="K46" s="58"/>
      <c r="L46" s="55"/>
      <c r="M46" s="142"/>
      <c r="N46" s="53"/>
      <c r="O46" s="53"/>
      <c r="Q46" s="143"/>
      <c r="R46" s="55"/>
      <c r="S46" s="52" t="s">
        <v>108</v>
      </c>
      <c r="T46" s="55"/>
      <c r="U46" s="55"/>
      <c r="V46" s="78"/>
      <c r="W46" s="128"/>
      <c r="X46" s="77"/>
      <c r="Y46" s="77"/>
    </row>
    <row r="47" spans="2:25" x14ac:dyDescent="0.2">
      <c r="B47" s="58" t="s">
        <v>174</v>
      </c>
      <c r="C47" s="53"/>
      <c r="D47" s="53"/>
      <c r="E47" s="57" t="s">
        <v>181</v>
      </c>
      <c r="G47" s="141"/>
      <c r="H47" s="55"/>
      <c r="I47" s="52" t="s">
        <v>109</v>
      </c>
      <c r="J47" s="55"/>
      <c r="K47" s="58"/>
      <c r="L47" s="55"/>
      <c r="M47" s="142"/>
      <c r="N47" s="53"/>
      <c r="O47" s="53"/>
      <c r="Q47" s="143"/>
      <c r="R47" s="55"/>
      <c r="S47" s="52" t="s">
        <v>109</v>
      </c>
      <c r="T47" s="55"/>
      <c r="U47" s="55"/>
      <c r="V47" s="78"/>
      <c r="W47" s="128"/>
      <c r="X47" s="77"/>
      <c r="Y47" s="77"/>
    </row>
    <row r="48" spans="2:25" x14ac:dyDescent="0.2">
      <c r="B48" s="58" t="s">
        <v>175</v>
      </c>
      <c r="C48" s="53"/>
      <c r="D48" s="53"/>
      <c r="E48" s="57" t="s">
        <v>182</v>
      </c>
      <c r="G48" s="140"/>
      <c r="H48" s="55"/>
      <c r="I48" s="52" t="s">
        <v>110</v>
      </c>
      <c r="J48" s="55"/>
      <c r="K48" s="58"/>
      <c r="L48" s="55"/>
      <c r="M48" s="142"/>
      <c r="N48" s="53"/>
      <c r="O48" s="53"/>
      <c r="Q48" s="143"/>
      <c r="R48" s="55"/>
      <c r="S48" s="52" t="s">
        <v>110</v>
      </c>
      <c r="T48" s="55"/>
      <c r="U48" s="55"/>
      <c r="V48" s="78"/>
      <c r="W48" s="128"/>
      <c r="X48" s="77"/>
      <c r="Y48" s="77"/>
    </row>
    <row r="49" spans="2:7" x14ac:dyDescent="0.2">
      <c r="B49" s="58" t="s">
        <v>176</v>
      </c>
      <c r="C49" s="53"/>
      <c r="D49" s="53"/>
      <c r="E49" s="57" t="s">
        <v>183</v>
      </c>
      <c r="G49" s="66"/>
    </row>
    <row r="50" spans="2:7" x14ac:dyDescent="0.2">
      <c r="B50" s="58" t="s">
        <v>177</v>
      </c>
      <c r="C50" s="53"/>
      <c r="D50" s="53"/>
      <c r="E50" s="57" t="s">
        <v>185</v>
      </c>
      <c r="G50" s="66"/>
    </row>
    <row r="51" spans="2:7" x14ac:dyDescent="0.2">
      <c r="B51" s="58" t="s">
        <v>178</v>
      </c>
      <c r="C51" s="53"/>
      <c r="D51" s="53"/>
      <c r="E51" s="57" t="s">
        <v>184</v>
      </c>
    </row>
    <row r="52" spans="2:7" x14ac:dyDescent="0.2">
      <c r="B52" s="58" t="s">
        <v>179</v>
      </c>
      <c r="C52" s="53"/>
      <c r="D52" s="53"/>
      <c r="E52" s="57" t="s">
        <v>186</v>
      </c>
    </row>
  </sheetData>
  <mergeCells count="75">
    <mergeCell ref="G44:G48"/>
    <mergeCell ref="M44:M48"/>
    <mergeCell ref="Q39:Q43"/>
    <mergeCell ref="W39:W43"/>
    <mergeCell ref="Q44:Q48"/>
    <mergeCell ref="W44:W48"/>
    <mergeCell ref="M34:M38"/>
    <mergeCell ref="G14:G18"/>
    <mergeCell ref="Q24:Q28"/>
    <mergeCell ref="W24:W28"/>
    <mergeCell ref="Q34:Q38"/>
    <mergeCell ref="W34:W38"/>
    <mergeCell ref="G29:G33"/>
    <mergeCell ref="M29:M33"/>
    <mergeCell ref="G34:G38"/>
    <mergeCell ref="Q29:Q33"/>
    <mergeCell ref="W29:W33"/>
    <mergeCell ref="Q19:Q23"/>
    <mergeCell ref="W19:W23"/>
    <mergeCell ref="W14:W18"/>
    <mergeCell ref="Q14:Q18"/>
    <mergeCell ref="B28:B30"/>
    <mergeCell ref="B4:B5"/>
    <mergeCell ref="E4:E5"/>
    <mergeCell ref="B9:B12"/>
    <mergeCell ref="E9:E12"/>
    <mergeCell ref="D19:D21"/>
    <mergeCell ref="B6:B8"/>
    <mergeCell ref="E6:E8"/>
    <mergeCell ref="E13:E15"/>
    <mergeCell ref="B13:B15"/>
    <mergeCell ref="B19:B21"/>
    <mergeCell ref="E19:E21"/>
    <mergeCell ref="E16:E18"/>
    <mergeCell ref="B16:B18"/>
    <mergeCell ref="D4:D5"/>
    <mergeCell ref="D6:D8"/>
    <mergeCell ref="D9:D12"/>
    <mergeCell ref="G24:G28"/>
    <mergeCell ref="M24:M28"/>
    <mergeCell ref="G39:G43"/>
    <mergeCell ref="M39:M43"/>
    <mergeCell ref="D13:D15"/>
    <mergeCell ref="D16:D18"/>
    <mergeCell ref="D40:D42"/>
    <mergeCell ref="G19:G23"/>
    <mergeCell ref="M19:M23"/>
    <mergeCell ref="E22:E25"/>
    <mergeCell ref="E26:E27"/>
    <mergeCell ref="E28:E30"/>
    <mergeCell ref="G9:G13"/>
    <mergeCell ref="M9:M13"/>
    <mergeCell ref="M14:M18"/>
    <mergeCell ref="B40:B42"/>
    <mergeCell ref="E40:E42"/>
    <mergeCell ref="D22:D25"/>
    <mergeCell ref="D26:D27"/>
    <mergeCell ref="D28:D30"/>
    <mergeCell ref="D31:D33"/>
    <mergeCell ref="D34:D36"/>
    <mergeCell ref="D37:D39"/>
    <mergeCell ref="E31:E33"/>
    <mergeCell ref="B31:B33"/>
    <mergeCell ref="E34:E36"/>
    <mergeCell ref="B34:B36"/>
    <mergeCell ref="E37:E39"/>
    <mergeCell ref="B37:B39"/>
    <mergeCell ref="B22:B25"/>
    <mergeCell ref="B26:B27"/>
    <mergeCell ref="G4:G8"/>
    <mergeCell ref="M4:M8"/>
    <mergeCell ref="W4:W8"/>
    <mergeCell ref="W9:W13"/>
    <mergeCell ref="Q9:Q13"/>
    <mergeCell ref="Q4:Q8"/>
  </mergeCells>
  <phoneticPr fontId="2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5B68-822E-4890-BD36-8EA0B4CCF918}">
  <sheetPr>
    <tabColor theme="6" tint="0.79998168889431442"/>
  </sheetPr>
  <dimension ref="B2:O109"/>
  <sheetViews>
    <sheetView tabSelected="1" topLeftCell="C1" workbookViewId="0">
      <selection activeCell="O25" sqref="O25:O29"/>
    </sheetView>
  </sheetViews>
  <sheetFormatPr defaultRowHeight="12.75" x14ac:dyDescent="0.2"/>
  <cols>
    <col min="1" max="1" width="6.140625" customWidth="1"/>
    <col min="2" max="2" width="15.140625" bestFit="1" customWidth="1"/>
    <col min="3" max="3" width="15.140625" customWidth="1"/>
    <col min="4" max="4" width="20.42578125" bestFit="1" customWidth="1"/>
    <col min="5" max="6" width="20.42578125" customWidth="1"/>
    <col min="7" max="7" width="10.42578125" bestFit="1" customWidth="1"/>
    <col min="8" max="10" width="9.140625" customWidth="1"/>
    <col min="11" max="11" width="10" customWidth="1"/>
    <col min="12" max="12" width="13.7109375" customWidth="1"/>
    <col min="13" max="13" width="50.7109375" customWidth="1"/>
    <col min="14" max="14" width="44.140625" bestFit="1" customWidth="1"/>
    <col min="15" max="15" width="29.28515625" customWidth="1"/>
  </cols>
  <sheetData>
    <row r="2" spans="2:15" ht="15.75" x14ac:dyDescent="0.2">
      <c r="B2" s="21" t="s">
        <v>203</v>
      </c>
      <c r="C2" s="21"/>
      <c r="D2" s="23"/>
      <c r="E2" s="23"/>
      <c r="F2" s="23"/>
      <c r="G2" s="23"/>
      <c r="H2" s="23"/>
      <c r="I2" s="23"/>
      <c r="J2" s="23"/>
      <c r="K2" s="23"/>
      <c r="L2" s="23"/>
    </row>
    <row r="3" spans="2:15" x14ac:dyDescent="0.2">
      <c r="B3" s="100" t="s">
        <v>201</v>
      </c>
      <c r="C3" s="100" t="s">
        <v>92</v>
      </c>
      <c r="D3" s="100" t="s">
        <v>209</v>
      </c>
      <c r="E3" s="100" t="s">
        <v>77</v>
      </c>
      <c r="F3" s="100" t="s">
        <v>104</v>
      </c>
      <c r="G3" s="155" t="s">
        <v>105</v>
      </c>
      <c r="H3" s="154" t="s">
        <v>207</v>
      </c>
      <c r="I3" s="152"/>
      <c r="J3" s="152"/>
      <c r="K3" s="152"/>
      <c r="L3" s="153"/>
      <c r="M3" s="152" t="s">
        <v>430</v>
      </c>
      <c r="N3" s="153"/>
      <c r="O3" s="100" t="s">
        <v>431</v>
      </c>
    </row>
    <row r="4" spans="2:15" x14ac:dyDescent="0.2">
      <c r="B4" s="100"/>
      <c r="C4" s="100"/>
      <c r="D4" s="100"/>
      <c r="E4" s="100"/>
      <c r="F4" s="100"/>
      <c r="G4" s="156"/>
      <c r="H4" s="47" t="s">
        <v>197</v>
      </c>
      <c r="I4" s="47" t="s">
        <v>95</v>
      </c>
      <c r="J4" s="47" t="s">
        <v>96</v>
      </c>
      <c r="K4" s="47" t="s">
        <v>97</v>
      </c>
      <c r="L4" s="47" t="s">
        <v>202</v>
      </c>
      <c r="M4" s="26" t="s">
        <v>204</v>
      </c>
      <c r="N4" s="26" t="s">
        <v>206</v>
      </c>
      <c r="O4" s="100"/>
    </row>
    <row r="5" spans="2:15" x14ac:dyDescent="0.2">
      <c r="B5" s="139" t="s">
        <v>205</v>
      </c>
      <c r="C5" s="97" t="s">
        <v>208</v>
      </c>
      <c r="D5" s="97" t="s">
        <v>210</v>
      </c>
      <c r="E5" s="97" t="s">
        <v>89</v>
      </c>
      <c r="F5" s="97" t="s">
        <v>123</v>
      </c>
      <c r="G5" s="61" t="s">
        <v>106</v>
      </c>
      <c r="H5" s="55">
        <v>78</v>
      </c>
      <c r="I5" s="55">
        <v>82</v>
      </c>
      <c r="J5" s="55">
        <v>71</v>
      </c>
      <c r="K5" s="55">
        <v>80</v>
      </c>
      <c r="L5" s="55">
        <f>SUM(H5:K5)</f>
        <v>311</v>
      </c>
      <c r="M5" s="54" t="s">
        <v>318</v>
      </c>
      <c r="N5" s="54" t="s">
        <v>331</v>
      </c>
      <c r="O5" s="122" t="s">
        <v>433</v>
      </c>
    </row>
    <row r="6" spans="2:15" x14ac:dyDescent="0.2">
      <c r="B6" s="141"/>
      <c r="C6" s="98"/>
      <c r="D6" s="98"/>
      <c r="E6" s="98"/>
      <c r="F6" s="98"/>
      <c r="G6" s="52" t="s">
        <v>107</v>
      </c>
      <c r="H6" s="55">
        <f>H5+50</f>
        <v>128</v>
      </c>
      <c r="I6" s="55">
        <f t="shared" ref="I6:K9" si="0">I5+50</f>
        <v>132</v>
      </c>
      <c r="J6" s="55">
        <f t="shared" si="0"/>
        <v>121</v>
      </c>
      <c r="K6" s="55">
        <f t="shared" si="0"/>
        <v>130</v>
      </c>
      <c r="L6" s="55">
        <f t="shared" ref="L6:L9" si="1">SUM(H6:K6)</f>
        <v>511</v>
      </c>
      <c r="M6" s="122" t="s">
        <v>340</v>
      </c>
      <c r="N6" s="122" t="s">
        <v>350</v>
      </c>
      <c r="O6" s="123"/>
    </row>
    <row r="7" spans="2:15" x14ac:dyDescent="0.2">
      <c r="B7" s="141"/>
      <c r="C7" s="98"/>
      <c r="D7" s="98"/>
      <c r="E7" s="98"/>
      <c r="F7" s="98"/>
      <c r="G7" s="52" t="s">
        <v>108</v>
      </c>
      <c r="H7" s="55">
        <f t="shared" ref="H7:H9" si="2">H6+50</f>
        <v>178</v>
      </c>
      <c r="I7" s="55">
        <f t="shared" si="0"/>
        <v>182</v>
      </c>
      <c r="J7" s="55">
        <f t="shared" si="0"/>
        <v>171</v>
      </c>
      <c r="K7" s="55">
        <f t="shared" si="0"/>
        <v>180</v>
      </c>
      <c r="L7" s="55">
        <f t="shared" si="1"/>
        <v>711</v>
      </c>
      <c r="M7" s="150"/>
      <c r="N7" s="150"/>
      <c r="O7" s="123"/>
    </row>
    <row r="8" spans="2:15" x14ac:dyDescent="0.2">
      <c r="B8" s="141"/>
      <c r="C8" s="98"/>
      <c r="D8" s="98"/>
      <c r="E8" s="98"/>
      <c r="F8" s="98"/>
      <c r="G8" s="52" t="s">
        <v>109</v>
      </c>
      <c r="H8" s="55">
        <f t="shared" si="2"/>
        <v>228</v>
      </c>
      <c r="I8" s="55">
        <f t="shared" si="0"/>
        <v>232</v>
      </c>
      <c r="J8" s="55">
        <f t="shared" si="0"/>
        <v>221</v>
      </c>
      <c r="K8" s="55">
        <f t="shared" si="0"/>
        <v>230</v>
      </c>
      <c r="L8" s="55">
        <f t="shared" si="1"/>
        <v>911</v>
      </c>
      <c r="M8" s="150"/>
      <c r="N8" s="150"/>
      <c r="O8" s="123"/>
    </row>
    <row r="9" spans="2:15" x14ac:dyDescent="0.2">
      <c r="B9" s="140"/>
      <c r="C9" s="99"/>
      <c r="D9" s="99"/>
      <c r="E9" s="99"/>
      <c r="F9" s="99"/>
      <c r="G9" s="52" t="s">
        <v>110</v>
      </c>
      <c r="H9" s="55">
        <f t="shared" si="2"/>
        <v>278</v>
      </c>
      <c r="I9" s="55">
        <f t="shared" si="0"/>
        <v>282</v>
      </c>
      <c r="J9" s="55">
        <f t="shared" si="0"/>
        <v>271</v>
      </c>
      <c r="K9" s="55">
        <f t="shared" si="0"/>
        <v>280</v>
      </c>
      <c r="L9" s="55">
        <f t="shared" si="1"/>
        <v>1111</v>
      </c>
      <c r="M9" s="151"/>
      <c r="N9" s="151"/>
      <c r="O9" s="124"/>
    </row>
    <row r="10" spans="2:15" x14ac:dyDescent="0.2">
      <c r="B10" s="139" t="s">
        <v>335</v>
      </c>
      <c r="C10" s="97" t="s">
        <v>334</v>
      </c>
      <c r="D10" s="97" t="s">
        <v>333</v>
      </c>
      <c r="E10" s="97" t="s">
        <v>82</v>
      </c>
      <c r="F10" s="97" t="s">
        <v>121</v>
      </c>
      <c r="G10" s="61" t="s">
        <v>106</v>
      </c>
      <c r="H10" s="55">
        <v>68</v>
      </c>
      <c r="I10" s="55">
        <v>94</v>
      </c>
      <c r="J10" s="55">
        <v>61</v>
      </c>
      <c r="K10" s="55">
        <v>86</v>
      </c>
      <c r="L10" s="55">
        <f>SUM(H10:K10)</f>
        <v>309</v>
      </c>
      <c r="M10" s="54" t="s">
        <v>339</v>
      </c>
      <c r="N10" s="54" t="s">
        <v>352</v>
      </c>
      <c r="O10" s="122" t="s">
        <v>432</v>
      </c>
    </row>
    <row r="11" spans="2:15" ht="12.75" customHeight="1" x14ac:dyDescent="0.2">
      <c r="B11" s="141"/>
      <c r="C11" s="98"/>
      <c r="D11" s="98"/>
      <c r="E11" s="98"/>
      <c r="F11" s="98"/>
      <c r="G11" s="52" t="s">
        <v>107</v>
      </c>
      <c r="H11" s="55">
        <f>H10+50</f>
        <v>118</v>
      </c>
      <c r="I11" s="55">
        <f t="shared" ref="I11:K11" si="3">I10+50</f>
        <v>144</v>
      </c>
      <c r="J11" s="55">
        <f t="shared" si="3"/>
        <v>111</v>
      </c>
      <c r="K11" s="55">
        <f t="shared" si="3"/>
        <v>136</v>
      </c>
      <c r="L11" s="55">
        <f t="shared" ref="L11:L15" si="4">SUM(H11:K11)</f>
        <v>509</v>
      </c>
      <c r="M11" s="122" t="s">
        <v>341</v>
      </c>
      <c r="N11" s="122" t="s">
        <v>353</v>
      </c>
      <c r="O11" s="123"/>
    </row>
    <row r="12" spans="2:15" x14ac:dyDescent="0.2">
      <c r="B12" s="141"/>
      <c r="C12" s="98"/>
      <c r="D12" s="98"/>
      <c r="E12" s="98"/>
      <c r="F12" s="98"/>
      <c r="G12" s="52" t="s">
        <v>108</v>
      </c>
      <c r="H12" s="55">
        <f t="shared" ref="H12:K14" si="5">H11+50</f>
        <v>168</v>
      </c>
      <c r="I12" s="55">
        <f t="shared" si="5"/>
        <v>194</v>
      </c>
      <c r="J12" s="55">
        <f t="shared" si="5"/>
        <v>161</v>
      </c>
      <c r="K12" s="55">
        <f t="shared" si="5"/>
        <v>186</v>
      </c>
      <c r="L12" s="55">
        <f t="shared" si="4"/>
        <v>709</v>
      </c>
      <c r="M12" s="150"/>
      <c r="N12" s="150"/>
      <c r="O12" s="123"/>
    </row>
    <row r="13" spans="2:15" x14ac:dyDescent="0.2">
      <c r="B13" s="141"/>
      <c r="C13" s="98"/>
      <c r="D13" s="98"/>
      <c r="E13" s="98"/>
      <c r="F13" s="98"/>
      <c r="G13" s="52" t="s">
        <v>109</v>
      </c>
      <c r="H13" s="55">
        <f t="shared" si="5"/>
        <v>218</v>
      </c>
      <c r="I13" s="55">
        <f t="shared" si="5"/>
        <v>244</v>
      </c>
      <c r="J13" s="55">
        <f t="shared" si="5"/>
        <v>211</v>
      </c>
      <c r="K13" s="55">
        <f t="shared" si="5"/>
        <v>236</v>
      </c>
      <c r="L13" s="55">
        <f t="shared" si="4"/>
        <v>909</v>
      </c>
      <c r="M13" s="150"/>
      <c r="N13" s="150"/>
      <c r="O13" s="123"/>
    </row>
    <row r="14" spans="2:15" x14ac:dyDescent="0.2">
      <c r="B14" s="140"/>
      <c r="C14" s="99"/>
      <c r="D14" s="99"/>
      <c r="E14" s="99"/>
      <c r="F14" s="99"/>
      <c r="G14" s="52" t="s">
        <v>110</v>
      </c>
      <c r="H14" s="55">
        <f t="shared" si="5"/>
        <v>268</v>
      </c>
      <c r="I14" s="55">
        <f t="shared" si="5"/>
        <v>294</v>
      </c>
      <c r="J14" s="55">
        <f t="shared" si="5"/>
        <v>261</v>
      </c>
      <c r="K14" s="55">
        <f t="shared" si="5"/>
        <v>286</v>
      </c>
      <c r="L14" s="55">
        <f t="shared" si="4"/>
        <v>1109</v>
      </c>
      <c r="M14" s="151"/>
      <c r="N14" s="151"/>
      <c r="O14" s="124"/>
    </row>
    <row r="15" spans="2:15" ht="12.75" customHeight="1" x14ac:dyDescent="0.2">
      <c r="B15" s="139" t="s">
        <v>356</v>
      </c>
      <c r="C15" s="97" t="s">
        <v>357</v>
      </c>
      <c r="D15" s="97" t="s">
        <v>358</v>
      </c>
      <c r="E15" s="97" t="s">
        <v>89</v>
      </c>
      <c r="F15" s="97" t="s">
        <v>122</v>
      </c>
      <c r="G15" s="61" t="s">
        <v>106</v>
      </c>
      <c r="H15" s="55">
        <v>91</v>
      </c>
      <c r="I15" s="55">
        <v>70</v>
      </c>
      <c r="J15" s="55">
        <v>94</v>
      </c>
      <c r="K15" s="55">
        <v>62</v>
      </c>
      <c r="L15" s="55">
        <f t="shared" si="4"/>
        <v>317</v>
      </c>
      <c r="M15" s="54" t="s">
        <v>390</v>
      </c>
      <c r="N15" s="54" t="s">
        <v>392</v>
      </c>
      <c r="O15" s="122" t="s">
        <v>450</v>
      </c>
    </row>
    <row r="16" spans="2:15" ht="12.75" customHeight="1" x14ac:dyDescent="0.2">
      <c r="B16" s="141"/>
      <c r="C16" s="98"/>
      <c r="D16" s="98"/>
      <c r="E16" s="98"/>
      <c r="F16" s="98"/>
      <c r="G16" s="52" t="s">
        <v>107</v>
      </c>
      <c r="H16" s="55">
        <f>H15+50</f>
        <v>141</v>
      </c>
      <c r="I16" s="55">
        <f t="shared" ref="I16:K16" si="6">I15+50</f>
        <v>120</v>
      </c>
      <c r="J16" s="55">
        <f t="shared" si="6"/>
        <v>144</v>
      </c>
      <c r="K16" s="55">
        <f t="shared" si="6"/>
        <v>112</v>
      </c>
      <c r="L16" s="55">
        <f t="shared" ref="L16:L34" si="7">SUM(H16:K16)</f>
        <v>517</v>
      </c>
      <c r="M16" s="122" t="s">
        <v>388</v>
      </c>
      <c r="N16" s="122" t="s">
        <v>391</v>
      </c>
      <c r="O16" s="123"/>
    </row>
    <row r="17" spans="2:15" x14ac:dyDescent="0.2">
      <c r="B17" s="141"/>
      <c r="C17" s="98"/>
      <c r="D17" s="98"/>
      <c r="E17" s="98"/>
      <c r="F17" s="98"/>
      <c r="G17" s="52" t="s">
        <v>108</v>
      </c>
      <c r="H17" s="55">
        <f t="shared" ref="H17:K17" si="8">H16+50</f>
        <v>191</v>
      </c>
      <c r="I17" s="55">
        <f t="shared" si="8"/>
        <v>170</v>
      </c>
      <c r="J17" s="55">
        <f t="shared" si="8"/>
        <v>194</v>
      </c>
      <c r="K17" s="55">
        <f t="shared" si="8"/>
        <v>162</v>
      </c>
      <c r="L17" s="55">
        <f t="shared" si="7"/>
        <v>717</v>
      </c>
      <c r="M17" s="150"/>
      <c r="N17" s="150"/>
      <c r="O17" s="123"/>
    </row>
    <row r="18" spans="2:15" x14ac:dyDescent="0.2">
      <c r="B18" s="141"/>
      <c r="C18" s="98"/>
      <c r="D18" s="98"/>
      <c r="E18" s="98"/>
      <c r="F18" s="98"/>
      <c r="G18" s="52" t="s">
        <v>109</v>
      </c>
      <c r="H18" s="55">
        <f t="shared" ref="H18:K18" si="9">H17+50</f>
        <v>241</v>
      </c>
      <c r="I18" s="55">
        <f t="shared" si="9"/>
        <v>220</v>
      </c>
      <c r="J18" s="55">
        <f t="shared" si="9"/>
        <v>244</v>
      </c>
      <c r="K18" s="55">
        <f t="shared" si="9"/>
        <v>212</v>
      </c>
      <c r="L18" s="55">
        <f t="shared" si="7"/>
        <v>917</v>
      </c>
      <c r="M18" s="150"/>
      <c r="N18" s="150"/>
      <c r="O18" s="123"/>
    </row>
    <row r="19" spans="2:15" x14ac:dyDescent="0.2">
      <c r="B19" s="140"/>
      <c r="C19" s="99"/>
      <c r="D19" s="99"/>
      <c r="E19" s="99"/>
      <c r="F19" s="99"/>
      <c r="G19" s="52" t="s">
        <v>110</v>
      </c>
      <c r="H19" s="55">
        <f t="shared" ref="H19:K19" si="10">H18+50</f>
        <v>291</v>
      </c>
      <c r="I19" s="55">
        <f t="shared" si="10"/>
        <v>270</v>
      </c>
      <c r="J19" s="55">
        <f t="shared" si="10"/>
        <v>294</v>
      </c>
      <c r="K19" s="55">
        <f t="shared" si="10"/>
        <v>262</v>
      </c>
      <c r="L19" s="55">
        <f t="shared" si="7"/>
        <v>1117</v>
      </c>
      <c r="M19" s="151"/>
      <c r="N19" s="151"/>
      <c r="O19" s="124"/>
    </row>
    <row r="20" spans="2:15" x14ac:dyDescent="0.2">
      <c r="B20" s="139" t="s">
        <v>359</v>
      </c>
      <c r="C20" s="97" t="s">
        <v>355</v>
      </c>
      <c r="D20" s="97" t="s">
        <v>360</v>
      </c>
      <c r="E20" s="97" t="s">
        <v>89</v>
      </c>
      <c r="F20" s="97" t="s">
        <v>425</v>
      </c>
      <c r="G20" s="61" t="s">
        <v>106</v>
      </c>
      <c r="H20" s="55">
        <v>73</v>
      </c>
      <c r="I20" s="55">
        <v>87</v>
      </c>
      <c r="J20" s="55">
        <v>71</v>
      </c>
      <c r="K20" s="55">
        <v>93</v>
      </c>
      <c r="L20" s="55">
        <f t="shared" si="7"/>
        <v>324</v>
      </c>
      <c r="M20" s="54" t="s">
        <v>400</v>
      </c>
      <c r="N20" s="54" t="s">
        <v>407</v>
      </c>
      <c r="O20" s="122" t="s">
        <v>451</v>
      </c>
    </row>
    <row r="21" spans="2:15" x14ac:dyDescent="0.2">
      <c r="B21" s="141"/>
      <c r="C21" s="98"/>
      <c r="D21" s="98"/>
      <c r="E21" s="98"/>
      <c r="F21" s="98"/>
      <c r="G21" s="52" t="s">
        <v>107</v>
      </c>
      <c r="H21" s="55">
        <f>H20+50</f>
        <v>123</v>
      </c>
      <c r="I21" s="55">
        <f t="shared" ref="I21:K21" si="11">I20+50</f>
        <v>137</v>
      </c>
      <c r="J21" s="55">
        <f t="shared" si="11"/>
        <v>121</v>
      </c>
      <c r="K21" s="55">
        <f t="shared" si="11"/>
        <v>143</v>
      </c>
      <c r="L21" s="55">
        <f t="shared" si="7"/>
        <v>524</v>
      </c>
      <c r="M21" s="122" t="s">
        <v>420</v>
      </c>
      <c r="N21" s="122" t="s">
        <v>426</v>
      </c>
      <c r="O21" s="123"/>
    </row>
    <row r="22" spans="2:15" x14ac:dyDescent="0.2">
      <c r="B22" s="141"/>
      <c r="C22" s="98"/>
      <c r="D22" s="98"/>
      <c r="E22" s="98"/>
      <c r="F22" s="98"/>
      <c r="G22" s="52" t="s">
        <v>108</v>
      </c>
      <c r="H22" s="55">
        <f t="shared" ref="H22:K22" si="12">H21+50</f>
        <v>173</v>
      </c>
      <c r="I22" s="55">
        <f t="shared" si="12"/>
        <v>187</v>
      </c>
      <c r="J22" s="55">
        <f t="shared" si="12"/>
        <v>171</v>
      </c>
      <c r="K22" s="55">
        <f t="shared" si="12"/>
        <v>193</v>
      </c>
      <c r="L22" s="55">
        <f t="shared" si="7"/>
        <v>724</v>
      </c>
      <c r="M22" s="150"/>
      <c r="N22" s="150"/>
      <c r="O22" s="123"/>
    </row>
    <row r="23" spans="2:15" x14ac:dyDescent="0.2">
      <c r="B23" s="141"/>
      <c r="C23" s="98"/>
      <c r="D23" s="98"/>
      <c r="E23" s="98"/>
      <c r="F23" s="98"/>
      <c r="G23" s="52" t="s">
        <v>109</v>
      </c>
      <c r="H23" s="55">
        <f t="shared" ref="H23:K23" si="13">H22+50</f>
        <v>223</v>
      </c>
      <c r="I23" s="55">
        <f t="shared" si="13"/>
        <v>237</v>
      </c>
      <c r="J23" s="55">
        <f t="shared" si="13"/>
        <v>221</v>
      </c>
      <c r="K23" s="55">
        <f t="shared" si="13"/>
        <v>243</v>
      </c>
      <c r="L23" s="55">
        <f t="shared" si="7"/>
        <v>924</v>
      </c>
      <c r="M23" s="150"/>
      <c r="N23" s="150"/>
      <c r="O23" s="123"/>
    </row>
    <row r="24" spans="2:15" x14ac:dyDescent="0.2">
      <c r="B24" s="140"/>
      <c r="C24" s="99"/>
      <c r="D24" s="99"/>
      <c r="E24" s="99"/>
      <c r="F24" s="99"/>
      <c r="G24" s="52" t="s">
        <v>110</v>
      </c>
      <c r="H24" s="55">
        <f t="shared" ref="H24:K24" si="14">H23+50</f>
        <v>273</v>
      </c>
      <c r="I24" s="55">
        <f t="shared" si="14"/>
        <v>287</v>
      </c>
      <c r="J24" s="55">
        <f t="shared" si="14"/>
        <v>271</v>
      </c>
      <c r="K24" s="55">
        <f t="shared" si="14"/>
        <v>293</v>
      </c>
      <c r="L24" s="55">
        <f t="shared" si="7"/>
        <v>1124</v>
      </c>
      <c r="M24" s="151"/>
      <c r="N24" s="151"/>
      <c r="O24" s="124"/>
    </row>
    <row r="25" spans="2:15" x14ac:dyDescent="0.2">
      <c r="B25" s="139" t="s">
        <v>356</v>
      </c>
      <c r="C25" s="97" t="s">
        <v>361</v>
      </c>
      <c r="D25" s="97" t="s">
        <v>362</v>
      </c>
      <c r="E25" s="97" t="s">
        <v>89</v>
      </c>
      <c r="F25" s="97" t="s">
        <v>124</v>
      </c>
      <c r="G25" s="61" t="s">
        <v>106</v>
      </c>
      <c r="H25" s="55">
        <v>73</v>
      </c>
      <c r="I25" s="55">
        <v>75</v>
      </c>
      <c r="J25" s="55">
        <v>68</v>
      </c>
      <c r="K25" s="55">
        <v>87</v>
      </c>
      <c r="L25" s="55">
        <f t="shared" si="7"/>
        <v>303</v>
      </c>
      <c r="M25" s="54" t="s">
        <v>380</v>
      </c>
      <c r="N25" s="54" t="s">
        <v>378</v>
      </c>
      <c r="O25" s="122"/>
    </row>
    <row r="26" spans="2:15" x14ac:dyDescent="0.2">
      <c r="B26" s="141"/>
      <c r="C26" s="98"/>
      <c r="D26" s="98"/>
      <c r="E26" s="98"/>
      <c r="F26" s="98"/>
      <c r="G26" s="52" t="s">
        <v>107</v>
      </c>
      <c r="H26" s="55">
        <f>H25+50</f>
        <v>123</v>
      </c>
      <c r="I26" s="55">
        <f t="shared" ref="I26:K26" si="15">I25+50</f>
        <v>125</v>
      </c>
      <c r="J26" s="55">
        <f t="shared" si="15"/>
        <v>118</v>
      </c>
      <c r="K26" s="55">
        <f t="shared" si="15"/>
        <v>137</v>
      </c>
      <c r="L26" s="55">
        <f t="shared" si="7"/>
        <v>503</v>
      </c>
      <c r="M26" s="122" t="s">
        <v>398</v>
      </c>
      <c r="N26" s="122" t="s">
        <v>381</v>
      </c>
      <c r="O26" s="123"/>
    </row>
    <row r="27" spans="2:15" x14ac:dyDescent="0.2">
      <c r="B27" s="141"/>
      <c r="C27" s="98"/>
      <c r="D27" s="98"/>
      <c r="E27" s="98"/>
      <c r="F27" s="98"/>
      <c r="G27" s="52" t="s">
        <v>108</v>
      </c>
      <c r="H27" s="55">
        <f t="shared" ref="H27:K27" si="16">H26+50</f>
        <v>173</v>
      </c>
      <c r="I27" s="55">
        <f t="shared" si="16"/>
        <v>175</v>
      </c>
      <c r="J27" s="55">
        <f t="shared" si="16"/>
        <v>168</v>
      </c>
      <c r="K27" s="55">
        <f t="shared" si="16"/>
        <v>187</v>
      </c>
      <c r="L27" s="55">
        <f t="shared" si="7"/>
        <v>703</v>
      </c>
      <c r="M27" s="150"/>
      <c r="N27" s="150"/>
      <c r="O27" s="123"/>
    </row>
    <row r="28" spans="2:15" x14ac:dyDescent="0.2">
      <c r="B28" s="141"/>
      <c r="C28" s="98"/>
      <c r="D28" s="98"/>
      <c r="E28" s="98"/>
      <c r="F28" s="98"/>
      <c r="G28" s="52" t="s">
        <v>109</v>
      </c>
      <c r="H28" s="55">
        <f t="shared" ref="H28:K28" si="17">H27+50</f>
        <v>223</v>
      </c>
      <c r="I28" s="55">
        <f t="shared" si="17"/>
        <v>225</v>
      </c>
      <c r="J28" s="55">
        <f t="shared" si="17"/>
        <v>218</v>
      </c>
      <c r="K28" s="55">
        <f t="shared" si="17"/>
        <v>237</v>
      </c>
      <c r="L28" s="55">
        <f t="shared" si="7"/>
        <v>903</v>
      </c>
      <c r="M28" s="150"/>
      <c r="N28" s="150"/>
      <c r="O28" s="123"/>
    </row>
    <row r="29" spans="2:15" x14ac:dyDescent="0.2">
      <c r="B29" s="140"/>
      <c r="C29" s="99"/>
      <c r="D29" s="99"/>
      <c r="E29" s="99"/>
      <c r="F29" s="99"/>
      <c r="G29" s="52" t="s">
        <v>110</v>
      </c>
      <c r="H29" s="55">
        <f t="shared" ref="H29:K29" si="18">H28+50</f>
        <v>273</v>
      </c>
      <c r="I29" s="55">
        <f t="shared" si="18"/>
        <v>275</v>
      </c>
      <c r="J29" s="55">
        <f t="shared" si="18"/>
        <v>268</v>
      </c>
      <c r="K29" s="55">
        <f t="shared" si="18"/>
        <v>287</v>
      </c>
      <c r="L29" s="55">
        <f t="shared" si="7"/>
        <v>1103</v>
      </c>
      <c r="M29" s="151"/>
      <c r="N29" s="151"/>
      <c r="O29" s="124"/>
    </row>
    <row r="30" spans="2:15" x14ac:dyDescent="0.2">
      <c r="B30" s="139" t="s">
        <v>409</v>
      </c>
      <c r="C30" s="97" t="s">
        <v>410</v>
      </c>
      <c r="D30" s="97" t="s">
        <v>410</v>
      </c>
      <c r="E30" s="97" t="s">
        <v>83</v>
      </c>
      <c r="F30" s="97" t="s">
        <v>124</v>
      </c>
      <c r="G30" s="61" t="s">
        <v>106</v>
      </c>
      <c r="H30" s="55">
        <v>76</v>
      </c>
      <c r="I30" s="55">
        <v>68</v>
      </c>
      <c r="J30" s="55">
        <v>74</v>
      </c>
      <c r="K30" s="55">
        <v>84</v>
      </c>
      <c r="L30" s="55">
        <f t="shared" si="7"/>
        <v>302</v>
      </c>
      <c r="M30" s="54" t="s">
        <v>424</v>
      </c>
      <c r="N30" s="54" t="s">
        <v>412</v>
      </c>
      <c r="O30" s="122"/>
    </row>
    <row r="31" spans="2:15" x14ac:dyDescent="0.2">
      <c r="B31" s="141"/>
      <c r="C31" s="98"/>
      <c r="D31" s="98"/>
      <c r="E31" s="98"/>
      <c r="F31" s="98"/>
      <c r="G31" s="52" t="s">
        <v>107</v>
      </c>
      <c r="H31" s="55">
        <f>H30+50</f>
        <v>126</v>
      </c>
      <c r="I31" s="55">
        <f t="shared" ref="I31:K31" si="19">I30+50</f>
        <v>118</v>
      </c>
      <c r="J31" s="55">
        <f t="shared" si="19"/>
        <v>124</v>
      </c>
      <c r="K31" s="55">
        <f t="shared" si="19"/>
        <v>134</v>
      </c>
      <c r="L31" s="55">
        <f t="shared" si="7"/>
        <v>502</v>
      </c>
      <c r="M31" s="122" t="s">
        <v>421</v>
      </c>
      <c r="N31" s="122" t="s">
        <v>411</v>
      </c>
      <c r="O31" s="123"/>
    </row>
    <row r="32" spans="2:15" x14ac:dyDescent="0.2">
      <c r="B32" s="141"/>
      <c r="C32" s="98"/>
      <c r="D32" s="98"/>
      <c r="E32" s="98"/>
      <c r="F32" s="98"/>
      <c r="G32" s="52" t="s">
        <v>108</v>
      </c>
      <c r="H32" s="55">
        <f t="shared" ref="H32:K32" si="20">H31+50</f>
        <v>176</v>
      </c>
      <c r="I32" s="55">
        <f t="shared" si="20"/>
        <v>168</v>
      </c>
      <c r="J32" s="55">
        <f t="shared" si="20"/>
        <v>174</v>
      </c>
      <c r="K32" s="55">
        <f t="shared" si="20"/>
        <v>184</v>
      </c>
      <c r="L32" s="55">
        <f t="shared" si="7"/>
        <v>702</v>
      </c>
      <c r="M32" s="150"/>
      <c r="N32" s="150"/>
      <c r="O32" s="123"/>
    </row>
    <row r="33" spans="2:15" x14ac:dyDescent="0.2">
      <c r="B33" s="141"/>
      <c r="C33" s="98"/>
      <c r="D33" s="98"/>
      <c r="E33" s="98"/>
      <c r="F33" s="98"/>
      <c r="G33" s="52" t="s">
        <v>109</v>
      </c>
      <c r="H33" s="55">
        <f t="shared" ref="H33:K33" si="21">H32+50</f>
        <v>226</v>
      </c>
      <c r="I33" s="55">
        <f t="shared" si="21"/>
        <v>218</v>
      </c>
      <c r="J33" s="55">
        <f t="shared" si="21"/>
        <v>224</v>
      </c>
      <c r="K33" s="55">
        <f t="shared" si="21"/>
        <v>234</v>
      </c>
      <c r="L33" s="55">
        <f t="shared" si="7"/>
        <v>902</v>
      </c>
      <c r="M33" s="150"/>
      <c r="N33" s="150"/>
      <c r="O33" s="123"/>
    </row>
    <row r="34" spans="2:15" x14ac:dyDescent="0.2">
      <c r="B34" s="140"/>
      <c r="C34" s="99"/>
      <c r="D34" s="99"/>
      <c r="E34" s="99"/>
      <c r="F34" s="99"/>
      <c r="G34" s="52" t="s">
        <v>110</v>
      </c>
      <c r="H34" s="55">
        <f t="shared" ref="H34:K34" si="22">H33+50</f>
        <v>276</v>
      </c>
      <c r="I34" s="55">
        <f t="shared" si="22"/>
        <v>268</v>
      </c>
      <c r="J34" s="55">
        <f t="shared" si="22"/>
        <v>274</v>
      </c>
      <c r="K34" s="55">
        <f t="shared" si="22"/>
        <v>284</v>
      </c>
      <c r="L34" s="55">
        <f t="shared" si="7"/>
        <v>1102</v>
      </c>
      <c r="M34" s="151"/>
      <c r="N34" s="151"/>
      <c r="O34" s="124"/>
    </row>
    <row r="35" spans="2:15" x14ac:dyDescent="0.2">
      <c r="B35" s="139"/>
      <c r="C35" s="97"/>
      <c r="D35" s="97"/>
      <c r="E35" s="97"/>
      <c r="F35" s="97"/>
      <c r="G35" s="61" t="s">
        <v>106</v>
      </c>
      <c r="H35" s="55"/>
      <c r="I35" s="55"/>
      <c r="J35" s="55"/>
      <c r="K35" s="55"/>
      <c r="L35" s="55">
        <f t="shared" ref="L35:L39" si="23">SUM(H35:K35)</f>
        <v>0</v>
      </c>
      <c r="M35" s="54"/>
      <c r="N35" s="54"/>
      <c r="O35" s="122"/>
    </row>
    <row r="36" spans="2:15" x14ac:dyDescent="0.2">
      <c r="B36" s="141"/>
      <c r="C36" s="98"/>
      <c r="D36" s="98"/>
      <c r="E36" s="98"/>
      <c r="F36" s="98"/>
      <c r="G36" s="52" t="s">
        <v>107</v>
      </c>
      <c r="H36" s="55">
        <f>H35+50</f>
        <v>50</v>
      </c>
      <c r="I36" s="55">
        <f t="shared" ref="I36:K36" si="24">I35+50</f>
        <v>50</v>
      </c>
      <c r="J36" s="55">
        <f t="shared" si="24"/>
        <v>50</v>
      </c>
      <c r="K36" s="55">
        <f t="shared" si="24"/>
        <v>50</v>
      </c>
      <c r="L36" s="55">
        <f t="shared" si="23"/>
        <v>200</v>
      </c>
      <c r="M36" s="122"/>
      <c r="N36" s="122"/>
      <c r="O36" s="123"/>
    </row>
    <row r="37" spans="2:15" x14ac:dyDescent="0.2">
      <c r="B37" s="141"/>
      <c r="C37" s="98"/>
      <c r="D37" s="98"/>
      <c r="E37" s="98"/>
      <c r="F37" s="98"/>
      <c r="G37" s="52" t="s">
        <v>108</v>
      </c>
      <c r="H37" s="55">
        <f t="shared" ref="H37:K37" si="25">H36+50</f>
        <v>100</v>
      </c>
      <c r="I37" s="55">
        <f t="shared" si="25"/>
        <v>100</v>
      </c>
      <c r="J37" s="55">
        <f t="shared" si="25"/>
        <v>100</v>
      </c>
      <c r="K37" s="55">
        <f t="shared" si="25"/>
        <v>100</v>
      </c>
      <c r="L37" s="55">
        <f t="shared" si="23"/>
        <v>400</v>
      </c>
      <c r="M37" s="150"/>
      <c r="N37" s="150"/>
      <c r="O37" s="123"/>
    </row>
    <row r="38" spans="2:15" x14ac:dyDescent="0.2">
      <c r="B38" s="141"/>
      <c r="C38" s="98"/>
      <c r="D38" s="98"/>
      <c r="E38" s="98"/>
      <c r="F38" s="98"/>
      <c r="G38" s="52" t="s">
        <v>109</v>
      </c>
      <c r="H38" s="55">
        <f t="shared" ref="H38:K38" si="26">H37+50</f>
        <v>150</v>
      </c>
      <c r="I38" s="55">
        <f t="shared" si="26"/>
        <v>150</v>
      </c>
      <c r="J38" s="55">
        <f t="shared" si="26"/>
        <v>150</v>
      </c>
      <c r="K38" s="55">
        <f t="shared" si="26"/>
        <v>150</v>
      </c>
      <c r="L38" s="55">
        <f t="shared" si="23"/>
        <v>600</v>
      </c>
      <c r="M38" s="150"/>
      <c r="N38" s="150"/>
      <c r="O38" s="123"/>
    </row>
    <row r="39" spans="2:15" x14ac:dyDescent="0.2">
      <c r="B39" s="140"/>
      <c r="C39" s="99"/>
      <c r="D39" s="99"/>
      <c r="E39" s="99"/>
      <c r="F39" s="99"/>
      <c r="G39" s="52" t="s">
        <v>110</v>
      </c>
      <c r="H39" s="55">
        <f t="shared" ref="H39:K39" si="27">H38+50</f>
        <v>200</v>
      </c>
      <c r="I39" s="55">
        <f t="shared" si="27"/>
        <v>200</v>
      </c>
      <c r="J39" s="55">
        <f t="shared" si="27"/>
        <v>200</v>
      </c>
      <c r="K39" s="55">
        <f t="shared" si="27"/>
        <v>200</v>
      </c>
      <c r="L39" s="55">
        <f t="shared" si="23"/>
        <v>800</v>
      </c>
      <c r="M39" s="151"/>
      <c r="N39" s="151"/>
      <c r="O39" s="124"/>
    </row>
    <row r="40" spans="2:15" x14ac:dyDescent="0.2">
      <c r="B40" s="139"/>
      <c r="C40" s="97"/>
      <c r="D40" s="97"/>
      <c r="E40" s="97"/>
      <c r="F40" s="97"/>
      <c r="G40" s="61" t="s">
        <v>106</v>
      </c>
      <c r="H40" s="55"/>
      <c r="I40" s="55"/>
      <c r="J40" s="55"/>
      <c r="K40" s="55"/>
      <c r="L40" s="55">
        <f t="shared" ref="L40:L94" si="28">SUM(H40:K40)</f>
        <v>0</v>
      </c>
      <c r="M40" s="54"/>
      <c r="N40" s="54"/>
      <c r="O40" s="122"/>
    </row>
    <row r="41" spans="2:15" x14ac:dyDescent="0.2">
      <c r="B41" s="141"/>
      <c r="C41" s="98"/>
      <c r="D41" s="98"/>
      <c r="E41" s="98"/>
      <c r="F41" s="98"/>
      <c r="G41" s="52" t="s">
        <v>107</v>
      </c>
      <c r="H41" s="55">
        <f t="shared" ref="H41:K41" si="29">H40+50</f>
        <v>50</v>
      </c>
      <c r="I41" s="55">
        <f t="shared" si="29"/>
        <v>50</v>
      </c>
      <c r="J41" s="55">
        <f t="shared" si="29"/>
        <v>50</v>
      </c>
      <c r="K41" s="55">
        <f t="shared" si="29"/>
        <v>50</v>
      </c>
      <c r="L41" s="55">
        <f t="shared" si="28"/>
        <v>200</v>
      </c>
      <c r="M41" s="122"/>
      <c r="N41" s="122"/>
      <c r="O41" s="123"/>
    </row>
    <row r="42" spans="2:15" x14ac:dyDescent="0.2">
      <c r="B42" s="141"/>
      <c r="C42" s="98"/>
      <c r="D42" s="98"/>
      <c r="E42" s="98"/>
      <c r="F42" s="98"/>
      <c r="G42" s="52" t="s">
        <v>108</v>
      </c>
      <c r="H42" s="55">
        <f t="shared" ref="H42:K42" si="30">H41+50</f>
        <v>100</v>
      </c>
      <c r="I42" s="55">
        <f t="shared" si="30"/>
        <v>100</v>
      </c>
      <c r="J42" s="55">
        <f t="shared" si="30"/>
        <v>100</v>
      </c>
      <c r="K42" s="55">
        <f t="shared" si="30"/>
        <v>100</v>
      </c>
      <c r="L42" s="55">
        <f t="shared" si="28"/>
        <v>400</v>
      </c>
      <c r="M42" s="150"/>
      <c r="N42" s="150"/>
      <c r="O42" s="123"/>
    </row>
    <row r="43" spans="2:15" x14ac:dyDescent="0.2">
      <c r="B43" s="141"/>
      <c r="C43" s="98"/>
      <c r="D43" s="98"/>
      <c r="E43" s="98"/>
      <c r="F43" s="98"/>
      <c r="G43" s="52" t="s">
        <v>109</v>
      </c>
      <c r="H43" s="55">
        <f t="shared" ref="H43:K43" si="31">H42+50</f>
        <v>150</v>
      </c>
      <c r="I43" s="55">
        <f t="shared" si="31"/>
        <v>150</v>
      </c>
      <c r="J43" s="55">
        <f t="shared" si="31"/>
        <v>150</v>
      </c>
      <c r="K43" s="55">
        <f t="shared" si="31"/>
        <v>150</v>
      </c>
      <c r="L43" s="55">
        <f t="shared" si="28"/>
        <v>600</v>
      </c>
      <c r="M43" s="150"/>
      <c r="N43" s="150"/>
      <c r="O43" s="123"/>
    </row>
    <row r="44" spans="2:15" x14ac:dyDescent="0.2">
      <c r="B44" s="140"/>
      <c r="C44" s="99"/>
      <c r="D44" s="99"/>
      <c r="E44" s="99"/>
      <c r="F44" s="99"/>
      <c r="G44" s="52" t="s">
        <v>110</v>
      </c>
      <c r="H44" s="55">
        <f t="shared" ref="H44:K44" si="32">H43+50</f>
        <v>200</v>
      </c>
      <c r="I44" s="55">
        <f t="shared" si="32"/>
        <v>200</v>
      </c>
      <c r="J44" s="55">
        <f t="shared" si="32"/>
        <v>200</v>
      </c>
      <c r="K44" s="55">
        <f t="shared" si="32"/>
        <v>200</v>
      </c>
      <c r="L44" s="55">
        <f t="shared" si="28"/>
        <v>800</v>
      </c>
      <c r="M44" s="151"/>
      <c r="N44" s="151"/>
      <c r="O44" s="124"/>
    </row>
    <row r="45" spans="2:15" x14ac:dyDescent="0.2">
      <c r="B45" s="139"/>
      <c r="C45" s="97"/>
      <c r="D45" s="97"/>
      <c r="E45" s="97"/>
      <c r="F45" s="97"/>
      <c r="G45" s="61" t="s">
        <v>106</v>
      </c>
      <c r="H45" s="55"/>
      <c r="I45" s="55"/>
      <c r="J45" s="55"/>
      <c r="K45" s="55"/>
      <c r="L45" s="55">
        <f t="shared" si="28"/>
        <v>0</v>
      </c>
      <c r="M45" s="54"/>
      <c r="N45" s="54"/>
      <c r="O45" s="122"/>
    </row>
    <row r="46" spans="2:15" x14ac:dyDescent="0.2">
      <c r="B46" s="141"/>
      <c r="C46" s="98"/>
      <c r="D46" s="98"/>
      <c r="E46" s="98"/>
      <c r="F46" s="98"/>
      <c r="G46" s="52" t="s">
        <v>107</v>
      </c>
      <c r="H46" s="55">
        <f t="shared" ref="H46:K46" si="33">H45+50</f>
        <v>50</v>
      </c>
      <c r="I46" s="55">
        <f t="shared" si="33"/>
        <v>50</v>
      </c>
      <c r="J46" s="55">
        <f t="shared" si="33"/>
        <v>50</v>
      </c>
      <c r="K46" s="55">
        <f t="shared" si="33"/>
        <v>50</v>
      </c>
      <c r="L46" s="55">
        <f t="shared" si="28"/>
        <v>200</v>
      </c>
      <c r="M46" s="122"/>
      <c r="N46" s="122"/>
      <c r="O46" s="123"/>
    </row>
    <row r="47" spans="2:15" x14ac:dyDescent="0.2">
      <c r="B47" s="141"/>
      <c r="C47" s="98"/>
      <c r="D47" s="98"/>
      <c r="E47" s="98"/>
      <c r="F47" s="98"/>
      <c r="G47" s="52" t="s">
        <v>108</v>
      </c>
      <c r="H47" s="55">
        <f t="shared" ref="H47:K47" si="34">H46+50</f>
        <v>100</v>
      </c>
      <c r="I47" s="55">
        <f t="shared" si="34"/>
        <v>100</v>
      </c>
      <c r="J47" s="55">
        <f t="shared" si="34"/>
        <v>100</v>
      </c>
      <c r="K47" s="55">
        <f t="shared" si="34"/>
        <v>100</v>
      </c>
      <c r="L47" s="55">
        <f t="shared" si="28"/>
        <v>400</v>
      </c>
      <c r="M47" s="150"/>
      <c r="N47" s="150"/>
      <c r="O47" s="123"/>
    </row>
    <row r="48" spans="2:15" x14ac:dyDescent="0.2">
      <c r="B48" s="141"/>
      <c r="C48" s="98"/>
      <c r="D48" s="98"/>
      <c r="E48" s="98"/>
      <c r="F48" s="98"/>
      <c r="G48" s="52" t="s">
        <v>109</v>
      </c>
      <c r="H48" s="55">
        <f t="shared" ref="H48:K48" si="35">H47+50</f>
        <v>150</v>
      </c>
      <c r="I48" s="55">
        <f t="shared" si="35"/>
        <v>150</v>
      </c>
      <c r="J48" s="55">
        <f t="shared" si="35"/>
        <v>150</v>
      </c>
      <c r="K48" s="55">
        <f t="shared" si="35"/>
        <v>150</v>
      </c>
      <c r="L48" s="55">
        <f t="shared" si="28"/>
        <v>600</v>
      </c>
      <c r="M48" s="150"/>
      <c r="N48" s="150"/>
      <c r="O48" s="123"/>
    </row>
    <row r="49" spans="2:15" x14ac:dyDescent="0.2">
      <c r="B49" s="140"/>
      <c r="C49" s="99"/>
      <c r="D49" s="99"/>
      <c r="E49" s="99"/>
      <c r="F49" s="99"/>
      <c r="G49" s="52" t="s">
        <v>110</v>
      </c>
      <c r="H49" s="55">
        <f t="shared" ref="H49:K49" si="36">H48+50</f>
        <v>200</v>
      </c>
      <c r="I49" s="55">
        <f t="shared" si="36"/>
        <v>200</v>
      </c>
      <c r="J49" s="55">
        <f t="shared" si="36"/>
        <v>200</v>
      </c>
      <c r="K49" s="55">
        <f t="shared" si="36"/>
        <v>200</v>
      </c>
      <c r="L49" s="55">
        <f t="shared" si="28"/>
        <v>800</v>
      </c>
      <c r="M49" s="151"/>
      <c r="N49" s="151"/>
      <c r="O49" s="124"/>
    </row>
    <row r="50" spans="2:15" x14ac:dyDescent="0.2">
      <c r="B50" s="139"/>
      <c r="C50" s="97"/>
      <c r="D50" s="97"/>
      <c r="E50" s="97"/>
      <c r="F50" s="97"/>
      <c r="G50" s="61" t="s">
        <v>106</v>
      </c>
      <c r="H50" s="55"/>
      <c r="I50" s="55"/>
      <c r="J50" s="55"/>
      <c r="K50" s="55"/>
      <c r="L50" s="55">
        <f t="shared" si="28"/>
        <v>0</v>
      </c>
      <c r="M50" s="54"/>
      <c r="N50" s="54"/>
      <c r="O50" s="122"/>
    </row>
    <row r="51" spans="2:15" x14ac:dyDescent="0.2">
      <c r="B51" s="141"/>
      <c r="C51" s="98"/>
      <c r="D51" s="98"/>
      <c r="E51" s="98"/>
      <c r="F51" s="98"/>
      <c r="G51" s="52" t="s">
        <v>107</v>
      </c>
      <c r="H51" s="55">
        <f t="shared" ref="H51:K51" si="37">H50+50</f>
        <v>50</v>
      </c>
      <c r="I51" s="55">
        <f t="shared" si="37"/>
        <v>50</v>
      </c>
      <c r="J51" s="55">
        <f t="shared" si="37"/>
        <v>50</v>
      </c>
      <c r="K51" s="55">
        <f t="shared" si="37"/>
        <v>50</v>
      </c>
      <c r="L51" s="55">
        <f t="shared" si="28"/>
        <v>200</v>
      </c>
      <c r="M51" s="122"/>
      <c r="N51" s="122"/>
      <c r="O51" s="123"/>
    </row>
    <row r="52" spans="2:15" x14ac:dyDescent="0.2">
      <c r="B52" s="141"/>
      <c r="C52" s="98"/>
      <c r="D52" s="98"/>
      <c r="E52" s="98"/>
      <c r="F52" s="98"/>
      <c r="G52" s="52" t="s">
        <v>108</v>
      </c>
      <c r="H52" s="55">
        <f t="shared" ref="H52:K52" si="38">H51+50</f>
        <v>100</v>
      </c>
      <c r="I52" s="55">
        <f t="shared" si="38"/>
        <v>100</v>
      </c>
      <c r="J52" s="55">
        <f t="shared" si="38"/>
        <v>100</v>
      </c>
      <c r="K52" s="55">
        <f t="shared" si="38"/>
        <v>100</v>
      </c>
      <c r="L52" s="55">
        <f t="shared" si="28"/>
        <v>400</v>
      </c>
      <c r="M52" s="150"/>
      <c r="N52" s="150"/>
      <c r="O52" s="123"/>
    </row>
    <row r="53" spans="2:15" x14ac:dyDescent="0.2">
      <c r="B53" s="141"/>
      <c r="C53" s="98"/>
      <c r="D53" s="98"/>
      <c r="E53" s="98"/>
      <c r="F53" s="98"/>
      <c r="G53" s="52" t="s">
        <v>109</v>
      </c>
      <c r="H53" s="55">
        <f t="shared" ref="H53:K53" si="39">H52+50</f>
        <v>150</v>
      </c>
      <c r="I53" s="55">
        <f t="shared" si="39"/>
        <v>150</v>
      </c>
      <c r="J53" s="55">
        <f t="shared" si="39"/>
        <v>150</v>
      </c>
      <c r="K53" s="55">
        <f t="shared" si="39"/>
        <v>150</v>
      </c>
      <c r="L53" s="55">
        <f t="shared" si="28"/>
        <v>600</v>
      </c>
      <c r="M53" s="150"/>
      <c r="N53" s="150"/>
      <c r="O53" s="123"/>
    </row>
    <row r="54" spans="2:15" x14ac:dyDescent="0.2">
      <c r="B54" s="140"/>
      <c r="C54" s="99"/>
      <c r="D54" s="99"/>
      <c r="E54" s="99"/>
      <c r="F54" s="99"/>
      <c r="G54" s="52" t="s">
        <v>110</v>
      </c>
      <c r="H54" s="55">
        <f t="shared" ref="H54:K54" si="40">H53+50</f>
        <v>200</v>
      </c>
      <c r="I54" s="55">
        <f t="shared" si="40"/>
        <v>200</v>
      </c>
      <c r="J54" s="55">
        <f t="shared" si="40"/>
        <v>200</v>
      </c>
      <c r="K54" s="55">
        <f t="shared" si="40"/>
        <v>200</v>
      </c>
      <c r="L54" s="55">
        <f t="shared" si="28"/>
        <v>800</v>
      </c>
      <c r="M54" s="151"/>
      <c r="N54" s="151"/>
      <c r="O54" s="124"/>
    </row>
    <row r="55" spans="2:15" x14ac:dyDescent="0.2">
      <c r="B55" s="139"/>
      <c r="C55" s="97"/>
      <c r="D55" s="97"/>
      <c r="E55" s="97"/>
      <c r="F55" s="97"/>
      <c r="G55" s="61" t="s">
        <v>106</v>
      </c>
      <c r="H55" s="55"/>
      <c r="I55" s="55"/>
      <c r="J55" s="55"/>
      <c r="K55" s="55"/>
      <c r="L55" s="55">
        <f t="shared" si="28"/>
        <v>0</v>
      </c>
      <c r="M55" s="54"/>
      <c r="N55" s="54"/>
      <c r="O55" s="122"/>
    </row>
    <row r="56" spans="2:15" x14ac:dyDescent="0.2">
      <c r="B56" s="141"/>
      <c r="C56" s="98"/>
      <c r="D56" s="98"/>
      <c r="E56" s="98"/>
      <c r="F56" s="98"/>
      <c r="G56" s="52" t="s">
        <v>107</v>
      </c>
      <c r="H56" s="55">
        <f t="shared" ref="H56:K56" si="41">H55+50</f>
        <v>50</v>
      </c>
      <c r="I56" s="55">
        <f t="shared" si="41"/>
        <v>50</v>
      </c>
      <c r="J56" s="55">
        <f t="shared" si="41"/>
        <v>50</v>
      </c>
      <c r="K56" s="55">
        <f t="shared" si="41"/>
        <v>50</v>
      </c>
      <c r="L56" s="55">
        <f t="shared" si="28"/>
        <v>200</v>
      </c>
      <c r="M56" s="122"/>
      <c r="N56" s="122"/>
      <c r="O56" s="123"/>
    </row>
    <row r="57" spans="2:15" x14ac:dyDescent="0.2">
      <c r="B57" s="141"/>
      <c r="C57" s="98"/>
      <c r="D57" s="98"/>
      <c r="E57" s="98"/>
      <c r="F57" s="98"/>
      <c r="G57" s="52" t="s">
        <v>108</v>
      </c>
      <c r="H57" s="55">
        <f t="shared" ref="H57:K57" si="42">H56+50</f>
        <v>100</v>
      </c>
      <c r="I57" s="55">
        <f t="shared" si="42"/>
        <v>100</v>
      </c>
      <c r="J57" s="55">
        <f t="shared" si="42"/>
        <v>100</v>
      </c>
      <c r="K57" s="55">
        <f t="shared" si="42"/>
        <v>100</v>
      </c>
      <c r="L57" s="55">
        <f t="shared" si="28"/>
        <v>400</v>
      </c>
      <c r="M57" s="150"/>
      <c r="N57" s="150"/>
      <c r="O57" s="123"/>
    </row>
    <row r="58" spans="2:15" x14ac:dyDescent="0.2">
      <c r="B58" s="141"/>
      <c r="C58" s="98"/>
      <c r="D58" s="98"/>
      <c r="E58" s="98"/>
      <c r="F58" s="98"/>
      <c r="G58" s="52" t="s">
        <v>109</v>
      </c>
      <c r="H58" s="55">
        <f t="shared" ref="H58:K58" si="43">H57+50</f>
        <v>150</v>
      </c>
      <c r="I58" s="55">
        <f t="shared" si="43"/>
        <v>150</v>
      </c>
      <c r="J58" s="55">
        <f t="shared" si="43"/>
        <v>150</v>
      </c>
      <c r="K58" s="55">
        <f t="shared" si="43"/>
        <v>150</v>
      </c>
      <c r="L58" s="55">
        <f t="shared" si="28"/>
        <v>600</v>
      </c>
      <c r="M58" s="150"/>
      <c r="N58" s="150"/>
      <c r="O58" s="123"/>
    </row>
    <row r="59" spans="2:15" x14ac:dyDescent="0.2">
      <c r="B59" s="140"/>
      <c r="C59" s="99"/>
      <c r="D59" s="99"/>
      <c r="E59" s="99"/>
      <c r="F59" s="99"/>
      <c r="G59" s="52" t="s">
        <v>110</v>
      </c>
      <c r="H59" s="55">
        <f t="shared" ref="H59:K59" si="44">H58+50</f>
        <v>200</v>
      </c>
      <c r="I59" s="55">
        <f t="shared" si="44"/>
        <v>200</v>
      </c>
      <c r="J59" s="55">
        <f t="shared" si="44"/>
        <v>200</v>
      </c>
      <c r="K59" s="55">
        <f t="shared" si="44"/>
        <v>200</v>
      </c>
      <c r="L59" s="55">
        <f t="shared" si="28"/>
        <v>800</v>
      </c>
      <c r="M59" s="151"/>
      <c r="N59" s="151"/>
      <c r="O59" s="124"/>
    </row>
    <row r="60" spans="2:15" x14ac:dyDescent="0.2">
      <c r="B60" s="139"/>
      <c r="C60" s="97"/>
      <c r="D60" s="97"/>
      <c r="E60" s="97"/>
      <c r="F60" s="97"/>
      <c r="G60" s="61" t="s">
        <v>106</v>
      </c>
      <c r="H60" s="55"/>
      <c r="I60" s="55"/>
      <c r="J60" s="55"/>
      <c r="K60" s="55"/>
      <c r="L60" s="55">
        <f t="shared" si="28"/>
        <v>0</v>
      </c>
      <c r="M60" s="54"/>
      <c r="N60" s="54"/>
      <c r="O60" s="122"/>
    </row>
    <row r="61" spans="2:15" x14ac:dyDescent="0.2">
      <c r="B61" s="141"/>
      <c r="C61" s="98"/>
      <c r="D61" s="98"/>
      <c r="E61" s="98"/>
      <c r="F61" s="98"/>
      <c r="G61" s="52" t="s">
        <v>107</v>
      </c>
      <c r="H61" s="55">
        <f t="shared" ref="H61:K61" si="45">H60+50</f>
        <v>50</v>
      </c>
      <c r="I61" s="55">
        <f t="shared" si="45"/>
        <v>50</v>
      </c>
      <c r="J61" s="55">
        <f t="shared" si="45"/>
        <v>50</v>
      </c>
      <c r="K61" s="55">
        <f t="shared" si="45"/>
        <v>50</v>
      </c>
      <c r="L61" s="55">
        <f t="shared" si="28"/>
        <v>200</v>
      </c>
      <c r="M61" s="122"/>
      <c r="N61" s="122"/>
      <c r="O61" s="123"/>
    </row>
    <row r="62" spans="2:15" x14ac:dyDescent="0.2">
      <c r="B62" s="141"/>
      <c r="C62" s="98"/>
      <c r="D62" s="98"/>
      <c r="E62" s="98"/>
      <c r="F62" s="98"/>
      <c r="G62" s="52" t="s">
        <v>108</v>
      </c>
      <c r="H62" s="55">
        <f t="shared" ref="H62:K62" si="46">H61+50</f>
        <v>100</v>
      </c>
      <c r="I62" s="55">
        <f t="shared" si="46"/>
        <v>100</v>
      </c>
      <c r="J62" s="55">
        <f t="shared" si="46"/>
        <v>100</v>
      </c>
      <c r="K62" s="55">
        <f t="shared" si="46"/>
        <v>100</v>
      </c>
      <c r="L62" s="55">
        <f t="shared" si="28"/>
        <v>400</v>
      </c>
      <c r="M62" s="150"/>
      <c r="N62" s="150"/>
      <c r="O62" s="123"/>
    </row>
    <row r="63" spans="2:15" x14ac:dyDescent="0.2">
      <c r="B63" s="141"/>
      <c r="C63" s="98"/>
      <c r="D63" s="98"/>
      <c r="E63" s="98"/>
      <c r="F63" s="98"/>
      <c r="G63" s="52" t="s">
        <v>109</v>
      </c>
      <c r="H63" s="55">
        <f t="shared" ref="H63:K63" si="47">H62+50</f>
        <v>150</v>
      </c>
      <c r="I63" s="55">
        <f t="shared" si="47"/>
        <v>150</v>
      </c>
      <c r="J63" s="55">
        <f t="shared" si="47"/>
        <v>150</v>
      </c>
      <c r="K63" s="55">
        <f t="shared" si="47"/>
        <v>150</v>
      </c>
      <c r="L63" s="55">
        <f t="shared" si="28"/>
        <v>600</v>
      </c>
      <c r="M63" s="150"/>
      <c r="N63" s="150"/>
      <c r="O63" s="123"/>
    </row>
    <row r="64" spans="2:15" x14ac:dyDescent="0.2">
      <c r="B64" s="140"/>
      <c r="C64" s="99"/>
      <c r="D64" s="99"/>
      <c r="E64" s="99"/>
      <c r="F64" s="99"/>
      <c r="G64" s="52" t="s">
        <v>110</v>
      </c>
      <c r="H64" s="55">
        <f t="shared" ref="H64:K64" si="48">H63+50</f>
        <v>200</v>
      </c>
      <c r="I64" s="55">
        <f t="shared" si="48"/>
        <v>200</v>
      </c>
      <c r="J64" s="55">
        <f t="shared" si="48"/>
        <v>200</v>
      </c>
      <c r="K64" s="55">
        <f t="shared" si="48"/>
        <v>200</v>
      </c>
      <c r="L64" s="55">
        <f t="shared" si="28"/>
        <v>800</v>
      </c>
      <c r="M64" s="151"/>
      <c r="N64" s="151"/>
      <c r="O64" s="124"/>
    </row>
    <row r="65" spans="2:15" x14ac:dyDescent="0.2">
      <c r="B65" s="139"/>
      <c r="C65" s="97"/>
      <c r="D65" s="97"/>
      <c r="E65" s="97"/>
      <c r="F65" s="97"/>
      <c r="G65" s="61" t="s">
        <v>106</v>
      </c>
      <c r="H65" s="55"/>
      <c r="I65" s="55"/>
      <c r="J65" s="55"/>
      <c r="K65" s="55"/>
      <c r="L65" s="55">
        <f t="shared" si="28"/>
        <v>0</v>
      </c>
      <c r="M65" s="54"/>
      <c r="N65" s="54"/>
      <c r="O65" s="122"/>
    </row>
    <row r="66" spans="2:15" x14ac:dyDescent="0.2">
      <c r="B66" s="141"/>
      <c r="C66" s="98"/>
      <c r="D66" s="98"/>
      <c r="E66" s="98"/>
      <c r="F66" s="98"/>
      <c r="G66" s="52" t="s">
        <v>107</v>
      </c>
      <c r="H66" s="55">
        <f t="shared" ref="H66:K66" si="49">H65+50</f>
        <v>50</v>
      </c>
      <c r="I66" s="55">
        <f t="shared" si="49"/>
        <v>50</v>
      </c>
      <c r="J66" s="55">
        <f t="shared" si="49"/>
        <v>50</v>
      </c>
      <c r="K66" s="55">
        <f t="shared" si="49"/>
        <v>50</v>
      </c>
      <c r="L66" s="55">
        <f t="shared" si="28"/>
        <v>200</v>
      </c>
      <c r="M66" s="122"/>
      <c r="N66" s="122"/>
      <c r="O66" s="123"/>
    </row>
    <row r="67" spans="2:15" x14ac:dyDescent="0.2">
      <c r="B67" s="141"/>
      <c r="C67" s="98"/>
      <c r="D67" s="98"/>
      <c r="E67" s="98"/>
      <c r="F67" s="98"/>
      <c r="G67" s="52" t="s">
        <v>108</v>
      </c>
      <c r="H67" s="55">
        <f t="shared" ref="H67:K67" si="50">H66+50</f>
        <v>100</v>
      </c>
      <c r="I67" s="55">
        <f t="shared" si="50"/>
        <v>100</v>
      </c>
      <c r="J67" s="55">
        <f t="shared" si="50"/>
        <v>100</v>
      </c>
      <c r="K67" s="55">
        <f t="shared" si="50"/>
        <v>100</v>
      </c>
      <c r="L67" s="55">
        <f t="shared" si="28"/>
        <v>400</v>
      </c>
      <c r="M67" s="150"/>
      <c r="N67" s="150"/>
      <c r="O67" s="123"/>
    </row>
    <row r="68" spans="2:15" x14ac:dyDescent="0.2">
      <c r="B68" s="141"/>
      <c r="C68" s="98"/>
      <c r="D68" s="98"/>
      <c r="E68" s="98"/>
      <c r="F68" s="98"/>
      <c r="G68" s="52" t="s">
        <v>109</v>
      </c>
      <c r="H68" s="55">
        <f t="shared" ref="H68:K68" si="51">H67+50</f>
        <v>150</v>
      </c>
      <c r="I68" s="55">
        <f t="shared" si="51"/>
        <v>150</v>
      </c>
      <c r="J68" s="55">
        <f t="shared" si="51"/>
        <v>150</v>
      </c>
      <c r="K68" s="55">
        <f t="shared" si="51"/>
        <v>150</v>
      </c>
      <c r="L68" s="55">
        <f t="shared" si="28"/>
        <v>600</v>
      </c>
      <c r="M68" s="150"/>
      <c r="N68" s="150"/>
      <c r="O68" s="123"/>
    </row>
    <row r="69" spans="2:15" x14ac:dyDescent="0.2">
      <c r="B69" s="140"/>
      <c r="C69" s="99"/>
      <c r="D69" s="99"/>
      <c r="E69" s="99"/>
      <c r="F69" s="99"/>
      <c r="G69" s="52" t="s">
        <v>110</v>
      </c>
      <c r="H69" s="55">
        <f t="shared" ref="H69:K69" si="52">H68+50</f>
        <v>200</v>
      </c>
      <c r="I69" s="55">
        <f t="shared" si="52"/>
        <v>200</v>
      </c>
      <c r="J69" s="55">
        <f t="shared" si="52"/>
        <v>200</v>
      </c>
      <c r="K69" s="55">
        <f t="shared" si="52"/>
        <v>200</v>
      </c>
      <c r="L69" s="55">
        <f t="shared" si="28"/>
        <v>800</v>
      </c>
      <c r="M69" s="151"/>
      <c r="N69" s="151"/>
      <c r="O69" s="124"/>
    </row>
    <row r="70" spans="2:15" x14ac:dyDescent="0.2">
      <c r="B70" s="139"/>
      <c r="C70" s="97"/>
      <c r="D70" s="97"/>
      <c r="E70" s="97"/>
      <c r="F70" s="97"/>
      <c r="G70" s="61" t="s">
        <v>106</v>
      </c>
      <c r="H70" s="55"/>
      <c r="I70" s="55"/>
      <c r="J70" s="55"/>
      <c r="K70" s="55"/>
      <c r="L70" s="55">
        <f t="shared" si="28"/>
        <v>0</v>
      </c>
      <c r="M70" s="54"/>
      <c r="N70" s="54"/>
      <c r="O70" s="122"/>
    </row>
    <row r="71" spans="2:15" x14ac:dyDescent="0.2">
      <c r="B71" s="141"/>
      <c r="C71" s="98"/>
      <c r="D71" s="98"/>
      <c r="E71" s="98"/>
      <c r="F71" s="98"/>
      <c r="G71" s="52" t="s">
        <v>107</v>
      </c>
      <c r="H71" s="55">
        <f t="shared" ref="H71:K71" si="53">H70+50</f>
        <v>50</v>
      </c>
      <c r="I71" s="55">
        <f t="shared" si="53"/>
        <v>50</v>
      </c>
      <c r="J71" s="55">
        <f t="shared" si="53"/>
        <v>50</v>
      </c>
      <c r="K71" s="55">
        <f t="shared" si="53"/>
        <v>50</v>
      </c>
      <c r="L71" s="55">
        <f t="shared" si="28"/>
        <v>200</v>
      </c>
      <c r="M71" s="122"/>
      <c r="N71" s="122"/>
      <c r="O71" s="123"/>
    </row>
    <row r="72" spans="2:15" x14ac:dyDescent="0.2">
      <c r="B72" s="141"/>
      <c r="C72" s="98"/>
      <c r="D72" s="98"/>
      <c r="E72" s="98"/>
      <c r="F72" s="98"/>
      <c r="G72" s="52" t="s">
        <v>108</v>
      </c>
      <c r="H72" s="55">
        <f t="shared" ref="H72:K72" si="54">H71+50</f>
        <v>100</v>
      </c>
      <c r="I72" s="55">
        <f t="shared" si="54"/>
        <v>100</v>
      </c>
      <c r="J72" s="55">
        <f t="shared" si="54"/>
        <v>100</v>
      </c>
      <c r="K72" s="55">
        <f t="shared" si="54"/>
        <v>100</v>
      </c>
      <c r="L72" s="55">
        <f t="shared" si="28"/>
        <v>400</v>
      </c>
      <c r="M72" s="150"/>
      <c r="N72" s="150"/>
      <c r="O72" s="123"/>
    </row>
    <row r="73" spans="2:15" x14ac:dyDescent="0.2">
      <c r="B73" s="141"/>
      <c r="C73" s="98"/>
      <c r="D73" s="98"/>
      <c r="E73" s="98"/>
      <c r="F73" s="98"/>
      <c r="G73" s="52" t="s">
        <v>109</v>
      </c>
      <c r="H73" s="55">
        <f t="shared" ref="H73:K73" si="55">H72+50</f>
        <v>150</v>
      </c>
      <c r="I73" s="55">
        <f t="shared" si="55"/>
        <v>150</v>
      </c>
      <c r="J73" s="55">
        <f t="shared" si="55"/>
        <v>150</v>
      </c>
      <c r="K73" s="55">
        <f t="shared" si="55"/>
        <v>150</v>
      </c>
      <c r="L73" s="55">
        <f t="shared" si="28"/>
        <v>600</v>
      </c>
      <c r="M73" s="150"/>
      <c r="N73" s="150"/>
      <c r="O73" s="123"/>
    </row>
    <row r="74" spans="2:15" x14ac:dyDescent="0.2">
      <c r="B74" s="140"/>
      <c r="C74" s="99"/>
      <c r="D74" s="99"/>
      <c r="E74" s="99"/>
      <c r="F74" s="99"/>
      <c r="G74" s="52" t="s">
        <v>110</v>
      </c>
      <c r="H74" s="55">
        <f t="shared" ref="H74:K74" si="56">H73+50</f>
        <v>200</v>
      </c>
      <c r="I74" s="55">
        <f t="shared" si="56"/>
        <v>200</v>
      </c>
      <c r="J74" s="55">
        <f t="shared" si="56"/>
        <v>200</v>
      </c>
      <c r="K74" s="55">
        <f t="shared" si="56"/>
        <v>200</v>
      </c>
      <c r="L74" s="55">
        <f t="shared" si="28"/>
        <v>800</v>
      </c>
      <c r="M74" s="151"/>
      <c r="N74" s="151"/>
      <c r="O74" s="124"/>
    </row>
    <row r="75" spans="2:15" x14ac:dyDescent="0.2">
      <c r="B75" s="139"/>
      <c r="C75" s="97"/>
      <c r="D75" s="97"/>
      <c r="E75" s="97"/>
      <c r="F75" s="97"/>
      <c r="G75" s="61" t="s">
        <v>106</v>
      </c>
      <c r="H75" s="55"/>
      <c r="I75" s="55"/>
      <c r="J75" s="55"/>
      <c r="K75" s="55"/>
      <c r="L75" s="55">
        <f t="shared" si="28"/>
        <v>0</v>
      </c>
      <c r="M75" s="54"/>
      <c r="N75" s="54"/>
      <c r="O75" s="122"/>
    </row>
    <row r="76" spans="2:15" x14ac:dyDescent="0.2">
      <c r="B76" s="141"/>
      <c r="C76" s="98"/>
      <c r="D76" s="98"/>
      <c r="E76" s="98"/>
      <c r="F76" s="98"/>
      <c r="G76" s="52" t="s">
        <v>107</v>
      </c>
      <c r="H76" s="55">
        <f t="shared" ref="H76:K76" si="57">H75+50</f>
        <v>50</v>
      </c>
      <c r="I76" s="55">
        <f t="shared" si="57"/>
        <v>50</v>
      </c>
      <c r="J76" s="55">
        <f t="shared" si="57"/>
        <v>50</v>
      </c>
      <c r="K76" s="55">
        <f t="shared" si="57"/>
        <v>50</v>
      </c>
      <c r="L76" s="55">
        <f t="shared" si="28"/>
        <v>200</v>
      </c>
      <c r="M76" s="122"/>
      <c r="N76" s="122"/>
      <c r="O76" s="123"/>
    </row>
    <row r="77" spans="2:15" x14ac:dyDescent="0.2">
      <c r="B77" s="141"/>
      <c r="C77" s="98"/>
      <c r="D77" s="98"/>
      <c r="E77" s="98"/>
      <c r="F77" s="98"/>
      <c r="G77" s="52" t="s">
        <v>108</v>
      </c>
      <c r="H77" s="55">
        <f t="shared" ref="H77:K77" si="58">H76+50</f>
        <v>100</v>
      </c>
      <c r="I77" s="55">
        <f t="shared" si="58"/>
        <v>100</v>
      </c>
      <c r="J77" s="55">
        <f t="shared" si="58"/>
        <v>100</v>
      </c>
      <c r="K77" s="55">
        <f t="shared" si="58"/>
        <v>100</v>
      </c>
      <c r="L77" s="55">
        <f t="shared" si="28"/>
        <v>400</v>
      </c>
      <c r="M77" s="150"/>
      <c r="N77" s="150"/>
      <c r="O77" s="123"/>
    </row>
    <row r="78" spans="2:15" x14ac:dyDescent="0.2">
      <c r="B78" s="141"/>
      <c r="C78" s="98"/>
      <c r="D78" s="98"/>
      <c r="E78" s="98"/>
      <c r="F78" s="98"/>
      <c r="G78" s="52" t="s">
        <v>109</v>
      </c>
      <c r="H78" s="55">
        <f t="shared" ref="H78:K78" si="59">H77+50</f>
        <v>150</v>
      </c>
      <c r="I78" s="55">
        <f t="shared" si="59"/>
        <v>150</v>
      </c>
      <c r="J78" s="55">
        <f t="shared" si="59"/>
        <v>150</v>
      </c>
      <c r="K78" s="55">
        <f t="shared" si="59"/>
        <v>150</v>
      </c>
      <c r="L78" s="55">
        <f t="shared" si="28"/>
        <v>600</v>
      </c>
      <c r="M78" s="150"/>
      <c r="N78" s="150"/>
      <c r="O78" s="123"/>
    </row>
    <row r="79" spans="2:15" x14ac:dyDescent="0.2">
      <c r="B79" s="140"/>
      <c r="C79" s="99"/>
      <c r="D79" s="99"/>
      <c r="E79" s="99"/>
      <c r="F79" s="99"/>
      <c r="G79" s="52" t="s">
        <v>110</v>
      </c>
      <c r="H79" s="55">
        <f t="shared" ref="H79:K79" si="60">H78+50</f>
        <v>200</v>
      </c>
      <c r="I79" s="55">
        <f t="shared" si="60"/>
        <v>200</v>
      </c>
      <c r="J79" s="55">
        <f t="shared" si="60"/>
        <v>200</v>
      </c>
      <c r="K79" s="55">
        <f t="shared" si="60"/>
        <v>200</v>
      </c>
      <c r="L79" s="55">
        <f t="shared" si="28"/>
        <v>800</v>
      </c>
      <c r="M79" s="151"/>
      <c r="N79" s="151"/>
      <c r="O79" s="124"/>
    </row>
    <row r="80" spans="2:15" x14ac:dyDescent="0.2">
      <c r="B80" s="139"/>
      <c r="C80" s="97"/>
      <c r="D80" s="97"/>
      <c r="E80" s="97"/>
      <c r="F80" s="97"/>
      <c r="G80" s="61" t="s">
        <v>106</v>
      </c>
      <c r="H80" s="55"/>
      <c r="I80" s="55"/>
      <c r="J80" s="55"/>
      <c r="K80" s="55"/>
      <c r="L80" s="55">
        <f t="shared" si="28"/>
        <v>0</v>
      </c>
      <c r="M80" s="54"/>
      <c r="N80" s="54"/>
      <c r="O80" s="122"/>
    </row>
    <row r="81" spans="2:15" x14ac:dyDescent="0.2">
      <c r="B81" s="141"/>
      <c r="C81" s="98"/>
      <c r="D81" s="98"/>
      <c r="E81" s="98"/>
      <c r="F81" s="98"/>
      <c r="G81" s="52" t="s">
        <v>107</v>
      </c>
      <c r="H81" s="55">
        <f t="shared" ref="H81:K81" si="61">H80+50</f>
        <v>50</v>
      </c>
      <c r="I81" s="55">
        <f t="shared" si="61"/>
        <v>50</v>
      </c>
      <c r="J81" s="55">
        <f t="shared" si="61"/>
        <v>50</v>
      </c>
      <c r="K81" s="55">
        <f t="shared" si="61"/>
        <v>50</v>
      </c>
      <c r="L81" s="55">
        <f t="shared" si="28"/>
        <v>200</v>
      </c>
      <c r="M81" s="122"/>
      <c r="N81" s="122"/>
      <c r="O81" s="123"/>
    </row>
    <row r="82" spans="2:15" x14ac:dyDescent="0.2">
      <c r="B82" s="141"/>
      <c r="C82" s="98"/>
      <c r="D82" s="98"/>
      <c r="E82" s="98"/>
      <c r="F82" s="98"/>
      <c r="G82" s="52" t="s">
        <v>108</v>
      </c>
      <c r="H82" s="55">
        <f t="shared" ref="H82:K82" si="62">H81+50</f>
        <v>100</v>
      </c>
      <c r="I82" s="55">
        <f t="shared" si="62"/>
        <v>100</v>
      </c>
      <c r="J82" s="55">
        <f t="shared" si="62"/>
        <v>100</v>
      </c>
      <c r="K82" s="55">
        <f t="shared" si="62"/>
        <v>100</v>
      </c>
      <c r="L82" s="55">
        <f t="shared" si="28"/>
        <v>400</v>
      </c>
      <c r="M82" s="150"/>
      <c r="N82" s="150"/>
      <c r="O82" s="123"/>
    </row>
    <row r="83" spans="2:15" x14ac:dyDescent="0.2">
      <c r="B83" s="141"/>
      <c r="C83" s="98"/>
      <c r="D83" s="98"/>
      <c r="E83" s="98"/>
      <c r="F83" s="98"/>
      <c r="G83" s="52" t="s">
        <v>109</v>
      </c>
      <c r="H83" s="55">
        <f t="shared" ref="H83:K83" si="63">H82+50</f>
        <v>150</v>
      </c>
      <c r="I83" s="55">
        <f t="shared" si="63"/>
        <v>150</v>
      </c>
      <c r="J83" s="55">
        <f t="shared" si="63"/>
        <v>150</v>
      </c>
      <c r="K83" s="55">
        <f t="shared" si="63"/>
        <v>150</v>
      </c>
      <c r="L83" s="55">
        <f t="shared" si="28"/>
        <v>600</v>
      </c>
      <c r="M83" s="150"/>
      <c r="N83" s="150"/>
      <c r="O83" s="123"/>
    </row>
    <row r="84" spans="2:15" x14ac:dyDescent="0.2">
      <c r="B84" s="140"/>
      <c r="C84" s="99"/>
      <c r="D84" s="99"/>
      <c r="E84" s="99"/>
      <c r="F84" s="99"/>
      <c r="G84" s="52" t="s">
        <v>110</v>
      </c>
      <c r="H84" s="55">
        <f t="shared" ref="H84:K84" si="64">H83+50</f>
        <v>200</v>
      </c>
      <c r="I84" s="55">
        <f t="shared" si="64"/>
        <v>200</v>
      </c>
      <c r="J84" s="55">
        <f t="shared" si="64"/>
        <v>200</v>
      </c>
      <c r="K84" s="55">
        <f t="shared" si="64"/>
        <v>200</v>
      </c>
      <c r="L84" s="55">
        <f t="shared" si="28"/>
        <v>800</v>
      </c>
      <c r="M84" s="151"/>
      <c r="N84" s="151"/>
      <c r="O84" s="124"/>
    </row>
    <row r="85" spans="2:15" x14ac:dyDescent="0.2">
      <c r="B85" s="139"/>
      <c r="C85" s="97"/>
      <c r="D85" s="97"/>
      <c r="E85" s="97"/>
      <c r="F85" s="97"/>
      <c r="G85" s="61" t="s">
        <v>106</v>
      </c>
      <c r="H85" s="55"/>
      <c r="I85" s="55"/>
      <c r="J85" s="55"/>
      <c r="K85" s="55"/>
      <c r="L85" s="55">
        <f t="shared" si="28"/>
        <v>0</v>
      </c>
      <c r="M85" s="54"/>
      <c r="N85" s="54"/>
      <c r="O85" s="122"/>
    </row>
    <row r="86" spans="2:15" x14ac:dyDescent="0.2">
      <c r="B86" s="141"/>
      <c r="C86" s="98"/>
      <c r="D86" s="98"/>
      <c r="E86" s="98"/>
      <c r="F86" s="98"/>
      <c r="G86" s="52" t="s">
        <v>107</v>
      </c>
      <c r="H86" s="55">
        <f t="shared" ref="H86:K86" si="65">H85+50</f>
        <v>50</v>
      </c>
      <c r="I86" s="55">
        <f t="shared" si="65"/>
        <v>50</v>
      </c>
      <c r="J86" s="55">
        <f t="shared" si="65"/>
        <v>50</v>
      </c>
      <c r="K86" s="55">
        <f t="shared" si="65"/>
        <v>50</v>
      </c>
      <c r="L86" s="55">
        <f t="shared" si="28"/>
        <v>200</v>
      </c>
      <c r="M86" s="122"/>
      <c r="N86" s="122"/>
      <c r="O86" s="123"/>
    </row>
    <row r="87" spans="2:15" x14ac:dyDescent="0.2">
      <c r="B87" s="141"/>
      <c r="C87" s="98"/>
      <c r="D87" s="98"/>
      <c r="E87" s="98"/>
      <c r="F87" s="98"/>
      <c r="G87" s="52" t="s">
        <v>108</v>
      </c>
      <c r="H87" s="55">
        <f t="shared" ref="H87:K87" si="66">H86+50</f>
        <v>100</v>
      </c>
      <c r="I87" s="55">
        <f t="shared" si="66"/>
        <v>100</v>
      </c>
      <c r="J87" s="55">
        <f t="shared" si="66"/>
        <v>100</v>
      </c>
      <c r="K87" s="55">
        <f t="shared" si="66"/>
        <v>100</v>
      </c>
      <c r="L87" s="55">
        <f t="shared" si="28"/>
        <v>400</v>
      </c>
      <c r="M87" s="150"/>
      <c r="N87" s="150"/>
      <c r="O87" s="123"/>
    </row>
    <row r="88" spans="2:15" x14ac:dyDescent="0.2">
      <c r="B88" s="141"/>
      <c r="C88" s="98"/>
      <c r="D88" s="98"/>
      <c r="E88" s="98"/>
      <c r="F88" s="98"/>
      <c r="G88" s="52" t="s">
        <v>109</v>
      </c>
      <c r="H88" s="55">
        <f t="shared" ref="H88:K88" si="67">H87+50</f>
        <v>150</v>
      </c>
      <c r="I88" s="55">
        <f t="shared" si="67"/>
        <v>150</v>
      </c>
      <c r="J88" s="55">
        <f t="shared" si="67"/>
        <v>150</v>
      </c>
      <c r="K88" s="55">
        <f t="shared" si="67"/>
        <v>150</v>
      </c>
      <c r="L88" s="55">
        <f t="shared" si="28"/>
        <v>600</v>
      </c>
      <c r="M88" s="150"/>
      <c r="N88" s="150"/>
      <c r="O88" s="123"/>
    </row>
    <row r="89" spans="2:15" x14ac:dyDescent="0.2">
      <c r="B89" s="140"/>
      <c r="C89" s="99"/>
      <c r="D89" s="99"/>
      <c r="E89" s="99"/>
      <c r="F89" s="99"/>
      <c r="G89" s="52" t="s">
        <v>110</v>
      </c>
      <c r="H89" s="55">
        <f t="shared" ref="H89:K89" si="68">H88+50</f>
        <v>200</v>
      </c>
      <c r="I89" s="55">
        <f t="shared" si="68"/>
        <v>200</v>
      </c>
      <c r="J89" s="55">
        <f t="shared" si="68"/>
        <v>200</v>
      </c>
      <c r="K89" s="55">
        <f t="shared" si="68"/>
        <v>200</v>
      </c>
      <c r="L89" s="55">
        <f t="shared" si="28"/>
        <v>800</v>
      </c>
      <c r="M89" s="151"/>
      <c r="N89" s="151"/>
      <c r="O89" s="124"/>
    </row>
    <row r="90" spans="2:15" x14ac:dyDescent="0.2">
      <c r="B90" s="139"/>
      <c r="C90" s="97"/>
      <c r="D90" s="97"/>
      <c r="E90" s="97"/>
      <c r="F90" s="97"/>
      <c r="G90" s="61" t="s">
        <v>106</v>
      </c>
      <c r="H90" s="55"/>
      <c r="I90" s="55"/>
      <c r="J90" s="55"/>
      <c r="K90" s="55"/>
      <c r="L90" s="55">
        <f t="shared" si="28"/>
        <v>0</v>
      </c>
      <c r="M90" s="54"/>
      <c r="N90" s="54"/>
      <c r="O90" s="122"/>
    </row>
    <row r="91" spans="2:15" x14ac:dyDescent="0.2">
      <c r="B91" s="141"/>
      <c r="C91" s="98"/>
      <c r="D91" s="98"/>
      <c r="E91" s="98"/>
      <c r="F91" s="98"/>
      <c r="G91" s="52" t="s">
        <v>107</v>
      </c>
      <c r="H91" s="55">
        <f t="shared" ref="H91:K91" si="69">H90+50</f>
        <v>50</v>
      </c>
      <c r="I91" s="55">
        <f t="shared" si="69"/>
        <v>50</v>
      </c>
      <c r="J91" s="55">
        <f t="shared" si="69"/>
        <v>50</v>
      </c>
      <c r="K91" s="55">
        <f t="shared" si="69"/>
        <v>50</v>
      </c>
      <c r="L91" s="55">
        <f t="shared" si="28"/>
        <v>200</v>
      </c>
      <c r="M91" s="122"/>
      <c r="N91" s="122"/>
      <c r="O91" s="123"/>
    </row>
    <row r="92" spans="2:15" x14ac:dyDescent="0.2">
      <c r="B92" s="141"/>
      <c r="C92" s="98"/>
      <c r="D92" s="98"/>
      <c r="E92" s="98"/>
      <c r="F92" s="98"/>
      <c r="G92" s="52" t="s">
        <v>108</v>
      </c>
      <c r="H92" s="55">
        <f t="shared" ref="H92:K92" si="70">H91+50</f>
        <v>100</v>
      </c>
      <c r="I92" s="55">
        <f t="shared" si="70"/>
        <v>100</v>
      </c>
      <c r="J92" s="55">
        <f t="shared" si="70"/>
        <v>100</v>
      </c>
      <c r="K92" s="55">
        <f t="shared" si="70"/>
        <v>100</v>
      </c>
      <c r="L92" s="55">
        <f t="shared" si="28"/>
        <v>400</v>
      </c>
      <c r="M92" s="150"/>
      <c r="N92" s="150"/>
      <c r="O92" s="123"/>
    </row>
    <row r="93" spans="2:15" x14ac:dyDescent="0.2">
      <c r="B93" s="141"/>
      <c r="C93" s="98"/>
      <c r="D93" s="98"/>
      <c r="E93" s="98"/>
      <c r="F93" s="98"/>
      <c r="G93" s="52" t="s">
        <v>109</v>
      </c>
      <c r="H93" s="55">
        <f t="shared" ref="H93:K93" si="71">H92+50</f>
        <v>150</v>
      </c>
      <c r="I93" s="55">
        <f t="shared" si="71"/>
        <v>150</v>
      </c>
      <c r="J93" s="55">
        <f t="shared" si="71"/>
        <v>150</v>
      </c>
      <c r="K93" s="55">
        <f t="shared" si="71"/>
        <v>150</v>
      </c>
      <c r="L93" s="55">
        <f t="shared" si="28"/>
        <v>600</v>
      </c>
      <c r="M93" s="150"/>
      <c r="N93" s="150"/>
      <c r="O93" s="123"/>
    </row>
    <row r="94" spans="2:15" x14ac:dyDescent="0.2">
      <c r="B94" s="140"/>
      <c r="C94" s="99"/>
      <c r="D94" s="99"/>
      <c r="E94" s="99"/>
      <c r="F94" s="99"/>
      <c r="G94" s="52" t="s">
        <v>110</v>
      </c>
      <c r="H94" s="55">
        <f t="shared" ref="H94:K94" si="72">H93+50</f>
        <v>200</v>
      </c>
      <c r="I94" s="55">
        <f t="shared" si="72"/>
        <v>200</v>
      </c>
      <c r="J94" s="55">
        <f t="shared" si="72"/>
        <v>200</v>
      </c>
      <c r="K94" s="55">
        <f t="shared" si="72"/>
        <v>200</v>
      </c>
      <c r="L94" s="55">
        <f t="shared" si="28"/>
        <v>800</v>
      </c>
      <c r="M94" s="151"/>
      <c r="N94" s="151"/>
      <c r="O94" s="124"/>
    </row>
    <row r="95" spans="2:15" x14ac:dyDescent="0.2">
      <c r="O95" s="122"/>
    </row>
    <row r="96" spans="2:15" x14ac:dyDescent="0.2">
      <c r="O96" s="123"/>
    </row>
    <row r="97" spans="15:15" x14ac:dyDescent="0.2">
      <c r="O97" s="123"/>
    </row>
    <row r="98" spans="15:15" x14ac:dyDescent="0.2">
      <c r="O98" s="123"/>
    </row>
    <row r="99" spans="15:15" x14ac:dyDescent="0.2">
      <c r="O99" s="124"/>
    </row>
    <row r="100" spans="15:15" x14ac:dyDescent="0.2">
      <c r="O100" s="122"/>
    </row>
    <row r="101" spans="15:15" x14ac:dyDescent="0.2">
      <c r="O101" s="123"/>
    </row>
    <row r="102" spans="15:15" x14ac:dyDescent="0.2">
      <c r="O102" s="123"/>
    </row>
    <row r="103" spans="15:15" x14ac:dyDescent="0.2">
      <c r="O103" s="123"/>
    </row>
    <row r="104" spans="15:15" x14ac:dyDescent="0.2">
      <c r="O104" s="124"/>
    </row>
    <row r="105" spans="15:15" x14ac:dyDescent="0.2">
      <c r="O105" s="122"/>
    </row>
    <row r="106" spans="15:15" x14ac:dyDescent="0.2">
      <c r="O106" s="123"/>
    </row>
    <row r="107" spans="15:15" x14ac:dyDescent="0.2">
      <c r="O107" s="123"/>
    </row>
    <row r="108" spans="15:15" x14ac:dyDescent="0.2">
      <c r="O108" s="123"/>
    </row>
    <row r="109" spans="15:15" x14ac:dyDescent="0.2">
      <c r="O109" s="124"/>
    </row>
  </sheetData>
  <mergeCells count="156">
    <mergeCell ref="O90:O94"/>
    <mergeCell ref="O95:O99"/>
    <mergeCell ref="O100:O104"/>
    <mergeCell ref="O105:O109"/>
    <mergeCell ref="O45:O49"/>
    <mergeCell ref="O50:O54"/>
    <mergeCell ref="O55:O59"/>
    <mergeCell ref="O60:O64"/>
    <mergeCell ref="O65:O69"/>
    <mergeCell ref="O70:O74"/>
    <mergeCell ref="O75:O79"/>
    <mergeCell ref="O80:O84"/>
    <mergeCell ref="O85:O89"/>
    <mergeCell ref="O3:O4"/>
    <mergeCell ref="O5:O9"/>
    <mergeCell ref="O10:O14"/>
    <mergeCell ref="O15:O19"/>
    <mergeCell ref="O20:O24"/>
    <mergeCell ref="O25:O29"/>
    <mergeCell ref="O30:O34"/>
    <mergeCell ref="O35:O39"/>
    <mergeCell ref="O40:O44"/>
    <mergeCell ref="M86:M89"/>
    <mergeCell ref="N86:N89"/>
    <mergeCell ref="B90:B94"/>
    <mergeCell ref="C90:C94"/>
    <mergeCell ref="D90:D94"/>
    <mergeCell ref="E90:E94"/>
    <mergeCell ref="F90:F94"/>
    <mergeCell ref="M91:M94"/>
    <mergeCell ref="N91:N94"/>
    <mergeCell ref="B85:B89"/>
    <mergeCell ref="C85:C89"/>
    <mergeCell ref="D85:D89"/>
    <mergeCell ref="E85:E89"/>
    <mergeCell ref="F85:F89"/>
    <mergeCell ref="M76:M79"/>
    <mergeCell ref="N76:N79"/>
    <mergeCell ref="B80:B84"/>
    <mergeCell ref="C80:C84"/>
    <mergeCell ref="D80:D84"/>
    <mergeCell ref="E80:E84"/>
    <mergeCell ref="F80:F84"/>
    <mergeCell ref="M81:M84"/>
    <mergeCell ref="N81:N84"/>
    <mergeCell ref="B75:B79"/>
    <mergeCell ref="C75:C79"/>
    <mergeCell ref="D75:D79"/>
    <mergeCell ref="E75:E79"/>
    <mergeCell ref="F75:F79"/>
    <mergeCell ref="M66:M69"/>
    <mergeCell ref="N66:N69"/>
    <mergeCell ref="B70:B74"/>
    <mergeCell ref="C70:C74"/>
    <mergeCell ref="D70:D74"/>
    <mergeCell ref="E70:E74"/>
    <mergeCell ref="F70:F74"/>
    <mergeCell ref="M71:M74"/>
    <mergeCell ref="N71:N74"/>
    <mergeCell ref="B65:B69"/>
    <mergeCell ref="C65:C69"/>
    <mergeCell ref="D65:D69"/>
    <mergeCell ref="E65:E69"/>
    <mergeCell ref="F65:F69"/>
    <mergeCell ref="M56:M59"/>
    <mergeCell ref="N56:N59"/>
    <mergeCell ref="B60:B64"/>
    <mergeCell ref="C60:C64"/>
    <mergeCell ref="D60:D64"/>
    <mergeCell ref="E60:E64"/>
    <mergeCell ref="F60:F64"/>
    <mergeCell ref="M61:M64"/>
    <mergeCell ref="N61:N64"/>
    <mergeCell ref="B55:B59"/>
    <mergeCell ref="C55:C59"/>
    <mergeCell ref="D55:D59"/>
    <mergeCell ref="E55:E59"/>
    <mergeCell ref="F55:F59"/>
    <mergeCell ref="M46:M49"/>
    <mergeCell ref="N46:N49"/>
    <mergeCell ref="B50:B54"/>
    <mergeCell ref="C50:C54"/>
    <mergeCell ref="D50:D54"/>
    <mergeCell ref="E50:E54"/>
    <mergeCell ref="F50:F54"/>
    <mergeCell ref="M51:M54"/>
    <mergeCell ref="N51:N54"/>
    <mergeCell ref="B45:B49"/>
    <mergeCell ref="C45:C49"/>
    <mergeCell ref="D45:D49"/>
    <mergeCell ref="E45:E49"/>
    <mergeCell ref="F45:F49"/>
    <mergeCell ref="M36:M39"/>
    <mergeCell ref="N36:N39"/>
    <mergeCell ref="B40:B44"/>
    <mergeCell ref="C40:C44"/>
    <mergeCell ref="D40:D44"/>
    <mergeCell ref="E40:E44"/>
    <mergeCell ref="F40:F44"/>
    <mergeCell ref="M41:M44"/>
    <mergeCell ref="N41:N44"/>
    <mergeCell ref="B35:B39"/>
    <mergeCell ref="C35:C39"/>
    <mergeCell ref="D35:D39"/>
    <mergeCell ref="E35:E39"/>
    <mergeCell ref="F35:F39"/>
    <mergeCell ref="B3:B4"/>
    <mergeCell ref="B5:B9"/>
    <mergeCell ref="C5:C9"/>
    <mergeCell ref="D5:D9"/>
    <mergeCell ref="E5:E9"/>
    <mergeCell ref="F5:F9"/>
    <mergeCell ref="M3:N3"/>
    <mergeCell ref="M6:M9"/>
    <mergeCell ref="N6:N9"/>
    <mergeCell ref="C3:C4"/>
    <mergeCell ref="F3:F4"/>
    <mergeCell ref="E3:E4"/>
    <mergeCell ref="D3:D4"/>
    <mergeCell ref="H3:L3"/>
    <mergeCell ref="G3:G4"/>
    <mergeCell ref="M11:M14"/>
    <mergeCell ref="N11:N14"/>
    <mergeCell ref="B15:B19"/>
    <mergeCell ref="C15:C19"/>
    <mergeCell ref="D15:D19"/>
    <mergeCell ref="E15:E19"/>
    <mergeCell ref="F15:F19"/>
    <mergeCell ref="M16:M19"/>
    <mergeCell ref="N16:N19"/>
    <mergeCell ref="B10:B14"/>
    <mergeCell ref="C10:C14"/>
    <mergeCell ref="D10:D14"/>
    <mergeCell ref="E10:E14"/>
    <mergeCell ref="F10:F14"/>
    <mergeCell ref="M31:M34"/>
    <mergeCell ref="N31:N34"/>
    <mergeCell ref="B30:B34"/>
    <mergeCell ref="C30:C34"/>
    <mergeCell ref="D30:D34"/>
    <mergeCell ref="E30:E34"/>
    <mergeCell ref="F30:F34"/>
    <mergeCell ref="M21:M24"/>
    <mergeCell ref="N21:N24"/>
    <mergeCell ref="B25:B29"/>
    <mergeCell ref="C25:C29"/>
    <mergeCell ref="D25:D29"/>
    <mergeCell ref="E25:E29"/>
    <mergeCell ref="F25:F29"/>
    <mergeCell ref="M26:M29"/>
    <mergeCell ref="N26:N29"/>
    <mergeCell ref="B20:B24"/>
    <mergeCell ref="C20:C24"/>
    <mergeCell ref="D20:D24"/>
    <mergeCell ref="E20:E24"/>
    <mergeCell ref="F20:F24"/>
  </mergeCells>
  <phoneticPr fontId="2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D878-BDD3-449A-8046-0BFF722BD3E6}">
  <sheetPr>
    <tabColor theme="5" tint="0.79998168889431442"/>
  </sheetPr>
  <dimension ref="B2:N17"/>
  <sheetViews>
    <sheetView workbookViewId="0">
      <selection activeCell="M6" sqref="M6:M9"/>
    </sheetView>
  </sheetViews>
  <sheetFormatPr defaultRowHeight="12.75" x14ac:dyDescent="0.2"/>
  <cols>
    <col min="2" max="2" width="15.140625" bestFit="1" customWidth="1"/>
    <col min="3" max="3" width="14" customWidth="1"/>
    <col min="4" max="4" width="13.5703125" customWidth="1"/>
    <col min="5" max="5" width="10.28515625" customWidth="1"/>
    <col min="6" max="7" width="10.42578125" bestFit="1" customWidth="1"/>
    <col min="8" max="8" width="9.28515625" customWidth="1"/>
    <col min="9" max="9" width="9.140625" customWidth="1"/>
    <col min="10" max="10" width="8.28515625" customWidth="1"/>
    <col min="11" max="11" width="8.85546875" customWidth="1"/>
    <col min="12" max="12" width="12.42578125" bestFit="1" customWidth="1"/>
    <col min="13" max="13" width="40.42578125" customWidth="1"/>
    <col min="14" max="14" width="43.7109375" customWidth="1"/>
  </cols>
  <sheetData>
    <row r="2" spans="2:14" ht="15.75" x14ac:dyDescent="0.2">
      <c r="B2" s="21" t="s">
        <v>231</v>
      </c>
      <c r="C2" s="21"/>
      <c r="E2" s="23"/>
      <c r="F2" s="23"/>
      <c r="G2" s="23"/>
      <c r="H2" s="23"/>
      <c r="I2" s="23"/>
      <c r="J2" s="23"/>
      <c r="K2" s="23"/>
      <c r="L2" s="23"/>
    </row>
    <row r="3" spans="2:14" x14ac:dyDescent="0.2">
      <c r="B3" s="100" t="s">
        <v>201</v>
      </c>
      <c r="C3" s="100" t="s">
        <v>92</v>
      </c>
      <c r="D3" s="100" t="s">
        <v>209</v>
      </c>
      <c r="E3" s="100" t="s">
        <v>77</v>
      </c>
      <c r="F3" s="100" t="s">
        <v>104</v>
      </c>
      <c r="G3" s="155" t="s">
        <v>105</v>
      </c>
      <c r="H3" s="154" t="s">
        <v>207</v>
      </c>
      <c r="I3" s="152"/>
      <c r="J3" s="152"/>
      <c r="K3" s="152"/>
      <c r="L3" s="153"/>
      <c r="M3" s="152"/>
      <c r="N3" s="153"/>
    </row>
    <row r="4" spans="2:14" x14ac:dyDescent="0.2">
      <c r="B4" s="100"/>
      <c r="C4" s="100"/>
      <c r="D4" s="100"/>
      <c r="E4" s="100"/>
      <c r="F4" s="100"/>
      <c r="G4" s="156"/>
      <c r="H4" s="47" t="s">
        <v>197</v>
      </c>
      <c r="I4" s="47" t="s">
        <v>95</v>
      </c>
      <c r="J4" s="47" t="s">
        <v>96</v>
      </c>
      <c r="K4" s="47" t="s">
        <v>97</v>
      </c>
      <c r="L4" s="47" t="s">
        <v>202</v>
      </c>
      <c r="M4" s="26" t="s">
        <v>204</v>
      </c>
      <c r="N4" s="26" t="s">
        <v>206</v>
      </c>
    </row>
    <row r="5" spans="2:14" x14ac:dyDescent="0.2">
      <c r="B5" s="97" t="s">
        <v>205</v>
      </c>
      <c r="C5" s="97" t="s">
        <v>227</v>
      </c>
      <c r="D5" s="97" t="s">
        <v>90</v>
      </c>
      <c r="E5" s="97" t="s">
        <v>85</v>
      </c>
      <c r="F5" s="97" t="s">
        <v>123</v>
      </c>
      <c r="G5" s="61" t="s">
        <v>106</v>
      </c>
      <c r="H5" s="55">
        <v>67</v>
      </c>
      <c r="I5" s="55">
        <v>73</v>
      </c>
      <c r="J5" s="55">
        <v>63</v>
      </c>
      <c r="K5" s="55">
        <v>80</v>
      </c>
      <c r="L5" s="55">
        <f>SUM(H5:K5)</f>
        <v>283</v>
      </c>
      <c r="M5" s="52" t="s">
        <v>230</v>
      </c>
      <c r="N5" s="54" t="s">
        <v>332</v>
      </c>
    </row>
    <row r="6" spans="2:14" x14ac:dyDescent="0.2">
      <c r="B6" s="98"/>
      <c r="C6" s="98"/>
      <c r="D6" s="98"/>
      <c r="E6" s="98"/>
      <c r="F6" s="98"/>
      <c r="G6" s="52" t="s">
        <v>107</v>
      </c>
      <c r="H6" s="55">
        <f>H5+50</f>
        <v>117</v>
      </c>
      <c r="I6" s="55">
        <f t="shared" ref="I6:K9" si="0">I5+50</f>
        <v>123</v>
      </c>
      <c r="J6" s="55">
        <f t="shared" si="0"/>
        <v>113</v>
      </c>
      <c r="K6" s="55">
        <f t="shared" si="0"/>
        <v>130</v>
      </c>
      <c r="L6" s="55">
        <f t="shared" ref="L6:L9" si="1">SUM(H6:K6)</f>
        <v>483</v>
      </c>
      <c r="M6" s="157" t="s">
        <v>327</v>
      </c>
      <c r="N6" s="157" t="s">
        <v>351</v>
      </c>
    </row>
    <row r="7" spans="2:14" x14ac:dyDescent="0.2">
      <c r="B7" s="98"/>
      <c r="C7" s="98"/>
      <c r="D7" s="98"/>
      <c r="E7" s="98"/>
      <c r="F7" s="98"/>
      <c r="G7" s="52" t="s">
        <v>108</v>
      </c>
      <c r="H7" s="55">
        <f t="shared" ref="H7:H9" si="2">H6+50</f>
        <v>167</v>
      </c>
      <c r="I7" s="55">
        <f t="shared" si="0"/>
        <v>173</v>
      </c>
      <c r="J7" s="55">
        <f t="shared" si="0"/>
        <v>163</v>
      </c>
      <c r="K7" s="55">
        <f t="shared" si="0"/>
        <v>180</v>
      </c>
      <c r="L7" s="55">
        <f t="shared" si="1"/>
        <v>683</v>
      </c>
      <c r="M7" s="150"/>
      <c r="N7" s="150"/>
    </row>
    <row r="8" spans="2:14" x14ac:dyDescent="0.2">
      <c r="B8" s="98"/>
      <c r="C8" s="98"/>
      <c r="D8" s="98"/>
      <c r="E8" s="98"/>
      <c r="F8" s="98"/>
      <c r="G8" s="52" t="s">
        <v>109</v>
      </c>
      <c r="H8" s="55">
        <f t="shared" si="2"/>
        <v>217</v>
      </c>
      <c r="I8" s="55">
        <f t="shared" si="0"/>
        <v>223</v>
      </c>
      <c r="J8" s="55">
        <f t="shared" si="0"/>
        <v>213</v>
      </c>
      <c r="K8" s="55">
        <f t="shared" si="0"/>
        <v>230</v>
      </c>
      <c r="L8" s="55">
        <f t="shared" si="1"/>
        <v>883</v>
      </c>
      <c r="M8" s="150"/>
      <c r="N8" s="150"/>
    </row>
    <row r="9" spans="2:14" x14ac:dyDescent="0.2">
      <c r="B9" s="99"/>
      <c r="C9" s="99"/>
      <c r="D9" s="99"/>
      <c r="E9" s="99"/>
      <c r="F9" s="99"/>
      <c r="G9" s="52" t="s">
        <v>110</v>
      </c>
      <c r="H9" s="55">
        <f t="shared" si="2"/>
        <v>267</v>
      </c>
      <c r="I9" s="55">
        <f t="shared" si="0"/>
        <v>273</v>
      </c>
      <c r="J9" s="55">
        <f t="shared" si="0"/>
        <v>263</v>
      </c>
      <c r="K9" s="55">
        <f t="shared" si="0"/>
        <v>280</v>
      </c>
      <c r="L9" s="55">
        <f t="shared" si="1"/>
        <v>1083</v>
      </c>
      <c r="M9" s="151"/>
      <c r="N9" s="151"/>
    </row>
    <row r="10" spans="2:14" x14ac:dyDescent="0.2"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2:14" x14ac:dyDescent="0.2"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</row>
    <row r="12" spans="2:14" x14ac:dyDescent="0.2"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</row>
    <row r="13" spans="2:14" x14ac:dyDescent="0.2"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</row>
    <row r="14" spans="2:14" x14ac:dyDescent="0.2"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</row>
    <row r="15" spans="2:14" x14ac:dyDescent="0.2"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</row>
    <row r="16" spans="2:14" x14ac:dyDescent="0.2"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</row>
    <row r="17" spans="2:14" x14ac:dyDescent="0.2"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</row>
  </sheetData>
  <mergeCells count="15">
    <mergeCell ref="D3:D4"/>
    <mergeCell ref="H3:L3"/>
    <mergeCell ref="M3:N3"/>
    <mergeCell ref="B5:B9"/>
    <mergeCell ref="C5:C9"/>
    <mergeCell ref="D5:D9"/>
    <mergeCell ref="E5:E9"/>
    <mergeCell ref="F5:F9"/>
    <mergeCell ref="M6:M9"/>
    <mergeCell ref="N6:N9"/>
    <mergeCell ref="B3:B4"/>
    <mergeCell ref="C3:C4"/>
    <mergeCell ref="E3:E4"/>
    <mergeCell ref="F3:F4"/>
    <mergeCell ref="G3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C10"/>
  <sheetViews>
    <sheetView workbookViewId="0">
      <selection activeCell="K32" sqref="K32"/>
    </sheetView>
  </sheetViews>
  <sheetFormatPr defaultColWidth="12.5703125" defaultRowHeight="15.75" customHeight="1" x14ac:dyDescent="0.2"/>
  <cols>
    <col min="1" max="1" width="3.140625" customWidth="1"/>
    <col min="2" max="2" width="17.85546875" customWidth="1"/>
  </cols>
  <sheetData>
    <row r="2" spans="2:3" ht="15.75" customHeight="1" x14ac:dyDescent="0.25">
      <c r="B2" s="160" t="s">
        <v>68</v>
      </c>
      <c r="C2" s="88"/>
    </row>
    <row r="3" spans="2:3" ht="12.75" x14ac:dyDescent="0.2">
      <c r="B3" s="161" t="s">
        <v>69</v>
      </c>
      <c r="C3" s="88"/>
    </row>
    <row r="4" spans="2:3" ht="12.75" x14ac:dyDescent="0.2">
      <c r="B4" s="158" t="s">
        <v>70</v>
      </c>
      <c r="C4" s="86"/>
    </row>
    <row r="5" spans="2:3" ht="12.75" x14ac:dyDescent="0.2">
      <c r="B5" s="158" t="s">
        <v>71</v>
      </c>
      <c r="C5" s="86"/>
    </row>
    <row r="6" spans="2:3" ht="12.75" x14ac:dyDescent="0.2">
      <c r="B6" s="158" t="s">
        <v>72</v>
      </c>
      <c r="C6" s="86"/>
    </row>
    <row r="7" spans="2:3" ht="12.75" x14ac:dyDescent="0.2">
      <c r="B7" s="158" t="s">
        <v>73</v>
      </c>
      <c r="C7" s="86"/>
    </row>
    <row r="8" spans="2:3" ht="12.75" x14ac:dyDescent="0.2">
      <c r="B8" s="158" t="s">
        <v>74</v>
      </c>
      <c r="C8" s="86"/>
    </row>
    <row r="9" spans="2:3" ht="12.75" x14ac:dyDescent="0.2">
      <c r="B9" s="158" t="s">
        <v>75</v>
      </c>
      <c r="C9" s="86"/>
    </row>
    <row r="10" spans="2:3" ht="12.75" x14ac:dyDescent="0.2">
      <c r="B10" s="159" t="s">
        <v>76</v>
      </c>
      <c r="C10" s="91"/>
    </row>
  </sheetData>
  <mergeCells count="9">
    <mergeCell ref="B9:C9"/>
    <mergeCell ref="B10:C10"/>
    <mergeCell ref="B2:C2"/>
    <mergeCell ref="B3:C3"/>
    <mergeCell ref="B4:C4"/>
    <mergeCell ref="B5:C5"/>
    <mergeCell ref="B6:C6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Game Design</vt:lpstr>
      <vt:lpstr>Tower Design</vt:lpstr>
      <vt:lpstr>Game Mechanic</vt:lpstr>
      <vt:lpstr>Skill Design</vt:lpstr>
      <vt:lpstr>Character Design</vt:lpstr>
      <vt:lpstr>Enemy Design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Hendy S</cp:lastModifiedBy>
  <dcterms:modified xsi:type="dcterms:W3CDTF">2023-12-26T08:26:13Z</dcterms:modified>
</cp:coreProperties>
</file>