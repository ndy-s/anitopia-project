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Player Damage Calculator" sheetId="1" r:id="rId4"/>
    <sheet state="visible" name="Example Raid" sheetId="2" r:id="rId5"/>
    <sheet state="visible" name="Backup" sheetId="3" r:id="rId6"/>
  </sheets>
  <definedNames/>
  <calcPr/>
</workbook>
</file>

<file path=xl/sharedStrings.xml><?xml version="1.0" encoding="utf-8"?>
<sst xmlns="http://schemas.openxmlformats.org/spreadsheetml/2006/main" count="7731" uniqueCount="172">
  <si>
    <r>
      <t xml:space="preserve">This is a work in progress calculator by: </t>
    </r>
    <r>
      <rPr/>
      <t>Otter#3098</t>
    </r>
  </si>
  <si>
    <t>I do not use Google Sheets often, so this isn't perfect, but is a resource nonetheless</t>
  </si>
  <si>
    <t>There is not currently a way to make it so that people can only see the changes that they make</t>
  </si>
  <si>
    <t>In the meantime, everyone should be able to only edit numbers in the B Column</t>
  </si>
  <si>
    <t>All Users should only need to input data into the Blue Boxes, the rest will auto generate</t>
  </si>
  <si>
    <t>This Bot Calculates assuming all the damage done has been done so by fully utilizing every drop of energy. So if you're around 1000 Damage behind the required rate, its basically calculating a few attacks/minutes behind</t>
  </si>
  <si>
    <t>"Claim" a section by putting your raid's start time in the "Date and Time" Box, this way other players know exactly when you're finished</t>
  </si>
  <si>
    <t>I currently do not know of a good way to calculate how kicks factor into the calculator, since it messes up pretty much every calculation, and is based on the point in the raid a player leaves.</t>
  </si>
  <si>
    <t>If any problems arise, or you have any suggestions, feel free to DM me</t>
  </si>
  <si>
    <t>Below are Links to Each Copy of the Calculator</t>
  </si>
  <si>
    <t>A30</t>
  </si>
  <si>
    <t>A630</t>
  </si>
  <si>
    <t>A1230</t>
  </si>
  <si>
    <t>A1830</t>
  </si>
  <si>
    <t>A70</t>
  </si>
  <si>
    <t>A670</t>
  </si>
  <si>
    <t>A1270</t>
  </si>
  <si>
    <t>A1870</t>
  </si>
  <si>
    <t>A110</t>
  </si>
  <si>
    <t>A710</t>
  </si>
  <si>
    <t>A1310</t>
  </si>
  <si>
    <t>A1910</t>
  </si>
  <si>
    <t>A150</t>
  </si>
  <si>
    <t>A750</t>
  </si>
  <si>
    <t>A1350</t>
  </si>
  <si>
    <t>A1950</t>
  </si>
  <si>
    <t>A190</t>
  </si>
  <si>
    <t>A790</t>
  </si>
  <si>
    <t>A1390</t>
  </si>
  <si>
    <t>A1990</t>
  </si>
  <si>
    <t>A230</t>
  </si>
  <si>
    <t>A830</t>
  </si>
  <si>
    <t>A1430</t>
  </si>
  <si>
    <t>A2030</t>
  </si>
  <si>
    <t>A270</t>
  </si>
  <si>
    <t>A870</t>
  </si>
  <si>
    <t>A1470</t>
  </si>
  <si>
    <t>A2070</t>
  </si>
  <si>
    <t>A310</t>
  </si>
  <si>
    <t>A910</t>
  </si>
  <si>
    <t>A1510</t>
  </si>
  <si>
    <t>A2110</t>
  </si>
  <si>
    <t>A350</t>
  </si>
  <si>
    <t>A950</t>
  </si>
  <si>
    <t>A1550</t>
  </si>
  <si>
    <t>A2150</t>
  </si>
  <si>
    <t>A390</t>
  </si>
  <si>
    <t>A990</t>
  </si>
  <si>
    <t>A1590</t>
  </si>
  <si>
    <t>A2190</t>
  </si>
  <si>
    <t>A430</t>
  </si>
  <si>
    <t>A1030</t>
  </si>
  <si>
    <t>A1630</t>
  </si>
  <si>
    <t>A2230</t>
  </si>
  <si>
    <t>A470</t>
  </si>
  <si>
    <t>A1070</t>
  </si>
  <si>
    <t>A1670</t>
  </si>
  <si>
    <t>A2270</t>
  </si>
  <si>
    <t>A510</t>
  </si>
  <si>
    <t>A1110</t>
  </si>
  <si>
    <t>A1710</t>
  </si>
  <si>
    <t>A2310</t>
  </si>
  <si>
    <t>A550</t>
  </si>
  <si>
    <t>A1150</t>
  </si>
  <si>
    <t>A1750</t>
  </si>
  <si>
    <t>A2350</t>
  </si>
  <si>
    <t>A590</t>
  </si>
  <si>
    <t>A1190</t>
  </si>
  <si>
    <t>A1790</t>
  </si>
  <si>
    <t>A2390</t>
  </si>
  <si>
    <t>Date &amp; Time:</t>
  </si>
  <si>
    <t>Date &amp; Time Claimed:</t>
  </si>
  <si>
    <t>Total Health:</t>
  </si>
  <si>
    <t>Health</t>
  </si>
  <si>
    <t>Time:</t>
  </si>
  <si>
    <t>Total Time</t>
  </si>
  <si>
    <t>Players</t>
  </si>
  <si>
    <t>Avg Damage Per Attack:</t>
  </si>
  <si>
    <t>Health Left:</t>
  </si>
  <si>
    <t>Hours:</t>
  </si>
  <si>
    <t>Player 1:</t>
  </si>
  <si>
    <t>Total Time:</t>
  </si>
  <si>
    <t>Minutes</t>
  </si>
  <si>
    <t>Player 2:</t>
  </si>
  <si>
    <t>Damage Done:</t>
  </si>
  <si>
    <t>Time Left:</t>
  </si>
  <si>
    <t>Total Time Left</t>
  </si>
  <si>
    <t>Time Used:</t>
  </si>
  <si>
    <t>Player 3:</t>
  </si>
  <si>
    <t>Minutes:</t>
  </si>
  <si>
    <t>Required Rate At Start:</t>
  </si>
  <si>
    <t>Player 4:</t>
  </si>
  <si>
    <t>Damage per Hour</t>
  </si>
  <si>
    <t>Player 5:</t>
  </si>
  <si>
    <t>Damage per Player</t>
  </si>
  <si>
    <t>Player 6:</t>
  </si>
  <si>
    <t>Player Damage per Hour</t>
  </si>
  <si>
    <t>Real Sum Avg Damage:</t>
  </si>
  <si>
    <t>Players:</t>
  </si>
  <si>
    <t>Player Damage per Attack</t>
  </si>
  <si>
    <t>Achieved Sum Avg Damage:</t>
  </si>
  <si>
    <t>Player Damage per Full Attack</t>
  </si>
  <si>
    <t>Sum Avg Damage: Start</t>
  </si>
  <si>
    <t>P1: Damage:</t>
  </si>
  <si>
    <t>Sum Player Damage per Attack</t>
  </si>
  <si>
    <t>Adjusted Time:</t>
  </si>
  <si>
    <t>Sum Avg Damage: Required</t>
  </si>
  <si>
    <t>P1: Attacks:</t>
  </si>
  <si>
    <t>Adjusted Time Used:</t>
  </si>
  <si>
    <t>Real and Achieved are not the same, because the calc assumes you've used every available energy</t>
  </si>
  <si>
    <t>P2: Damage:</t>
  </si>
  <si>
    <t>Current Required Rate:</t>
  </si>
  <si>
    <t>Current Achieved Rate: Adjusted</t>
  </si>
  <si>
    <t>Real is the exact value if everyone is using their attacks, assume it is your "max damage output" per attack as a team</t>
  </si>
  <si>
    <t>P2: Attacks:</t>
  </si>
  <si>
    <t>Meanwhile Achieved is factoring in time, damage done, afk player's lack of damage, etc</t>
  </si>
  <si>
    <t>P3: Damage:</t>
  </si>
  <si>
    <t>To get an accurate value for your raid, possibly input Zero's for afk players, since their damage output will be Zero</t>
  </si>
  <si>
    <t>P3: Attacks:</t>
  </si>
  <si>
    <t>P4: Damage:</t>
  </si>
  <si>
    <t>P4: Attacks:</t>
  </si>
  <si>
    <t>P5: Damage:</t>
  </si>
  <si>
    <t>P5: Attacks:</t>
  </si>
  <si>
    <t>P6: Damage:</t>
  </si>
  <si>
    <t>Achieved Rate vs Current Required Rate</t>
  </si>
  <si>
    <t>P6: Attacks:</t>
  </si>
  <si>
    <t>Achieved-Required: Hourly</t>
  </si>
  <si>
    <t>(if attacks is zero, calc will error)</t>
  </si>
  <si>
    <t>Achieved-Required: Per Attack</t>
  </si>
  <si>
    <t>Achieved-Required: Per Full Attack</t>
  </si>
  <si>
    <t>Achieved-Required: Sum Avg Dmg</t>
  </si>
  <si>
    <t>Achieved Rate vs Starting Rate</t>
  </si>
  <si>
    <t>Achieved-Starting: Hourly</t>
  </si>
  <si>
    <t>Achieved-Starting: Per Attack</t>
  </si>
  <si>
    <t>Estimated Time of Completion: (WIP)</t>
  </si>
  <si>
    <t>Hours</t>
  </si>
  <si>
    <t>Achieved-Starting: Per Full Attack</t>
  </si>
  <si>
    <t>Total Time Used Expected (Hours):</t>
  </si>
  <si>
    <t>Achieved-Starting: Sum Full Dmg</t>
  </si>
  <si>
    <t>Total Time Left, Expected (Hours):</t>
  </si>
  <si>
    <t>(this is an example raid, and were i confuse myself for hours on end)</t>
  </si>
  <si>
    <r>
      <t xml:space="preserve">This is a work in progress calculator by: </t>
    </r>
    <r>
      <rPr/>
      <t>Otter#3098</t>
    </r>
  </si>
  <si>
    <t>Below, I have linked to copies of the calculator to make navigation easier</t>
  </si>
  <si>
    <t>A20</t>
  </si>
  <si>
    <t>A290</t>
  </si>
  <si>
    <t>A560</t>
  </si>
  <si>
    <t>A50</t>
  </si>
  <si>
    <t>A320</t>
  </si>
  <si>
    <t>A860</t>
  </si>
  <si>
    <t>A80</t>
  </si>
  <si>
    <t>A620</t>
  </si>
  <si>
    <t>A890</t>
  </si>
  <si>
    <t>A380</t>
  </si>
  <si>
    <t>A650</t>
  </si>
  <si>
    <t>A920</t>
  </si>
  <si>
    <t>A140</t>
  </si>
  <si>
    <t>A410</t>
  </si>
  <si>
    <t>A680</t>
  </si>
  <si>
    <t>A170</t>
  </si>
  <si>
    <t>A440</t>
  </si>
  <si>
    <t>A980</t>
  </si>
  <si>
    <t>A200</t>
  </si>
  <si>
    <t>A740</t>
  </si>
  <si>
    <t>A1010</t>
  </si>
  <si>
    <t>A500</t>
  </si>
  <si>
    <t>A770</t>
  </si>
  <si>
    <t>A260</t>
  </si>
  <si>
    <t>A530</t>
  </si>
  <si>
    <t>A800</t>
  </si>
  <si>
    <t>Test Date</t>
  </si>
  <si>
    <t>At Start:</t>
  </si>
  <si>
    <t>&lt;---------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</si>
</sst>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h:mm"/>
  </numFmts>
  <fonts count="9">
    <font>
      <sz val="10.0"/>
      <color rgb="FF000000"/>
      <name val="Arial"/>
    </font>
    <font>
      <b/>
      <sz val="11.0"/>
      <color theme="1"/>
      <name val="Arial"/>
    </font>
    <font>
      <color theme="1"/>
      <name val="Arial"/>
    </font>
    <font>
      <b/>
      <color theme="1"/>
      <name val="Arial"/>
    </font>
    <font>
      <u/>
      <color rgb="FF1155CC"/>
    </font>
    <font>
      <b/>
      <sz val="12.0"/>
      <color theme="1"/>
      <name val="Arial"/>
    </font>
    <font>
      <b/>
      <sz val="9.0"/>
      <color theme="1"/>
      <name val="Arial"/>
    </font>
    <font>
      <sz val="11.0"/>
      <color theme="1"/>
      <name val="Arial"/>
    </font>
    <font>
      <u/>
      <color rgb="FF1155CC"/>
      <name val="Arial"/>
    </font>
  </fonts>
  <fills count="6">
    <fill>
      <patternFill patternType="none"/>
    </fill>
    <fill>
      <patternFill patternType="lightGray"/>
    </fill>
    <fill>
      <patternFill patternType="solid">
        <fgColor rgb="FF00FFFF"/>
        <bgColor rgb="FF00FFFF"/>
      </patternFill>
    </fill>
    <fill>
      <patternFill patternType="solid">
        <fgColor rgb="FF000000"/>
        <bgColor rgb="FF000000"/>
      </patternFill>
    </fill>
    <fill>
      <patternFill patternType="solid">
        <fgColor rgb="FFFFFF00"/>
        <bgColor rgb="FFFFFF00"/>
      </patternFill>
    </fill>
    <fill>
      <patternFill patternType="solid">
        <fgColor rgb="FFFFF2CC"/>
        <bgColor rgb="FFFFF2CC"/>
      </patternFill>
    </fill>
  </fills>
  <borders count="9">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vertical="bottom"/>
    </xf>
    <xf borderId="0" fillId="0" fontId="3" numFmtId="0" xfId="0" applyAlignment="1" applyFont="1">
      <alignment shrinkToFit="0" vertical="bottom" wrapText="0"/>
    </xf>
    <xf borderId="0" fillId="0" fontId="2" numFmtId="0" xfId="0" applyAlignment="1" applyFont="1">
      <alignment readingOrder="0"/>
    </xf>
    <xf borderId="0" fillId="0" fontId="4" numFmtId="0" xfId="0" applyAlignment="1" applyFont="1">
      <alignment readingOrder="0"/>
    </xf>
    <xf borderId="1" fillId="0" fontId="5" numFmtId="0" xfId="0" applyAlignment="1" applyBorder="1" applyFont="1">
      <alignment readingOrder="0"/>
    </xf>
    <xf borderId="2" fillId="2" fontId="2" numFmtId="164" xfId="0" applyAlignment="1" applyBorder="1" applyFill="1" applyFont="1" applyNumberFormat="1">
      <alignment readingOrder="0"/>
    </xf>
    <xf borderId="2" fillId="3" fontId="2" numFmtId="0" xfId="0" applyBorder="1" applyFill="1" applyFont="1"/>
    <xf borderId="2" fillId="0" fontId="5" numFmtId="0" xfId="0" applyAlignment="1" applyBorder="1" applyFont="1">
      <alignment readingOrder="0"/>
    </xf>
    <xf borderId="2" fillId="0" fontId="2" numFmtId="0" xfId="0" applyBorder="1" applyFont="1"/>
    <xf borderId="3" fillId="0" fontId="2" numFmtId="0" xfId="0" applyBorder="1" applyFont="1"/>
    <xf borderId="4" fillId="0" fontId="5" numFmtId="0" xfId="0" applyAlignment="1" applyBorder="1" applyFont="1">
      <alignment readingOrder="0"/>
    </xf>
    <xf borderId="0" fillId="2" fontId="2" numFmtId="0" xfId="0" applyAlignment="1" applyFont="1">
      <alignment readingOrder="0"/>
    </xf>
    <xf borderId="0" fillId="3" fontId="2" numFmtId="0" xfId="0" applyFont="1"/>
    <xf borderId="0" fillId="4" fontId="2" numFmtId="164" xfId="0" applyFill="1" applyFont="1" applyNumberFormat="1"/>
    <xf borderId="0" fillId="0" fontId="5" numFmtId="0" xfId="0" applyAlignment="1" applyFont="1">
      <alignment readingOrder="0"/>
    </xf>
    <xf borderId="0" fillId="0" fontId="5" numFmtId="0" xfId="0" applyFont="1"/>
    <xf borderId="0" fillId="0" fontId="1" numFmtId="0" xfId="0" applyAlignment="1" applyFont="1">
      <alignment horizontal="left" readingOrder="0"/>
    </xf>
    <xf borderId="5" fillId="0" fontId="2" numFmtId="0" xfId="0" applyBorder="1" applyFont="1"/>
    <xf borderId="0" fillId="0" fontId="5" numFmtId="0" xfId="0" applyAlignment="1" applyFont="1">
      <alignment horizontal="right" readingOrder="0"/>
    </xf>
    <xf borderId="0" fillId="4" fontId="2" numFmtId="0" xfId="0" applyAlignment="1" applyFont="1">
      <alignment readingOrder="0"/>
    </xf>
    <xf borderId="0" fillId="0" fontId="3" numFmtId="0" xfId="0" applyAlignment="1" applyFont="1">
      <alignment horizontal="right" readingOrder="0"/>
    </xf>
    <xf borderId="0" fillId="4" fontId="2" numFmtId="0" xfId="0" applyAlignment="1" applyFont="1">
      <alignment horizontal="left"/>
    </xf>
    <xf borderId="4" fillId="0" fontId="1" numFmtId="0" xfId="0" applyAlignment="1" applyBorder="1" applyFont="1">
      <alignment readingOrder="0"/>
    </xf>
    <xf borderId="0" fillId="0" fontId="2" numFmtId="0" xfId="0" applyFont="1"/>
    <xf borderId="0" fillId="0" fontId="3" numFmtId="0" xfId="0" applyFont="1"/>
    <xf borderId="0" fillId="3" fontId="2" numFmtId="0" xfId="0" applyAlignment="1" applyFont="1">
      <alignment readingOrder="0"/>
    </xf>
    <xf borderId="0" fillId="0" fontId="1" numFmtId="0" xfId="0" applyAlignment="1" applyFont="1">
      <alignment readingOrder="0"/>
    </xf>
    <xf borderId="0" fillId="0" fontId="1" numFmtId="0" xfId="0" applyAlignment="1" applyFont="1">
      <alignment horizontal="right" readingOrder="0"/>
    </xf>
    <xf borderId="0" fillId="0" fontId="3" numFmtId="0" xfId="0" applyAlignment="1" applyFont="1">
      <alignment horizontal="left"/>
    </xf>
    <xf borderId="0" fillId="5" fontId="2" numFmtId="0" xfId="0" applyFill="1" applyFont="1"/>
    <xf borderId="4" fillId="0" fontId="2" numFmtId="0" xfId="0" applyBorder="1" applyFont="1"/>
    <xf borderId="1" fillId="0" fontId="1" numFmtId="0" xfId="0" applyAlignment="1" applyBorder="1" applyFont="1">
      <alignment horizontal="right" readingOrder="0"/>
    </xf>
    <xf borderId="2" fillId="2" fontId="2" numFmtId="0" xfId="0" applyAlignment="1" applyBorder="1" applyFont="1">
      <alignment readingOrder="0"/>
    </xf>
    <xf borderId="0" fillId="0" fontId="3" numFmtId="0" xfId="0" applyAlignment="1" applyFont="1">
      <alignment readingOrder="0"/>
    </xf>
    <xf borderId="0" fillId="0" fontId="2" numFmtId="0" xfId="0" applyAlignment="1" applyFont="1">
      <alignment horizontal="left"/>
    </xf>
    <xf borderId="6" fillId="0" fontId="1" numFmtId="0" xfId="0" applyAlignment="1" applyBorder="1" applyFont="1">
      <alignment horizontal="right" readingOrder="0"/>
    </xf>
    <xf borderId="7" fillId="2" fontId="2" numFmtId="0" xfId="0" applyAlignment="1" applyBorder="1" applyFont="1">
      <alignment readingOrder="0"/>
    </xf>
    <xf borderId="0" fillId="0" fontId="6" numFmtId="0" xfId="0" applyAlignment="1" applyFont="1">
      <alignment readingOrder="0"/>
    </xf>
    <xf borderId="4" fillId="0" fontId="1" numFmtId="0" xfId="0" applyAlignment="1" applyBorder="1" applyFont="1">
      <alignment horizontal="right" readingOrder="0"/>
    </xf>
    <xf borderId="0" fillId="0" fontId="7" numFmtId="0" xfId="0" applyFont="1"/>
    <xf borderId="4" fillId="0" fontId="2" numFmtId="0" xfId="0" applyAlignment="1" applyBorder="1" applyFont="1">
      <alignment readingOrder="0"/>
    </xf>
    <xf borderId="0" fillId="0" fontId="2" numFmtId="0" xfId="0" applyAlignment="1" applyFont="1">
      <alignment horizontal="right" readingOrder="0"/>
    </xf>
    <xf borderId="6" fillId="0" fontId="2" numFmtId="0" xfId="0" applyBorder="1" applyFont="1"/>
    <xf borderId="7" fillId="0" fontId="2" numFmtId="0" xfId="0" applyBorder="1" applyFont="1"/>
    <xf borderId="7" fillId="3" fontId="2" numFmtId="0" xfId="0" applyBorder="1" applyFont="1"/>
    <xf borderId="7" fillId="0" fontId="2" numFmtId="0" xfId="0" applyAlignment="1" applyBorder="1" applyFont="1">
      <alignment readingOrder="0"/>
    </xf>
    <xf borderId="7" fillId="0" fontId="3" numFmtId="0" xfId="0" applyAlignment="1" applyBorder="1" applyFont="1">
      <alignment horizontal="left" readingOrder="0"/>
    </xf>
    <xf borderId="7" fillId="0" fontId="2" numFmtId="0" xfId="0" applyAlignment="1" applyBorder="1" applyFont="1">
      <alignment horizontal="left"/>
    </xf>
    <xf borderId="8" fillId="0" fontId="2" numFmtId="0" xfId="0" applyBorder="1" applyFont="1"/>
    <xf borderId="0" fillId="0" fontId="2" numFmtId="0" xfId="0" applyFont="1"/>
    <xf borderId="2" fillId="2" fontId="2" numFmtId="20" xfId="0" applyAlignment="1" applyBorder="1" applyFont="1" applyNumberFormat="1">
      <alignment readingOrder="0"/>
    </xf>
    <xf borderId="0" fillId="4" fontId="2" numFmtId="20" xfId="0" applyFont="1" applyNumberFormat="1"/>
    <xf borderId="0" fillId="0" fontId="3" numFmtId="0" xfId="0" applyAlignment="1" applyFont="1">
      <alignment horizontal="left" readingOrder="0"/>
    </xf>
    <xf borderId="0" fillId="0" fontId="8" numFmtId="0" xfId="0" applyAlignment="1" applyFont="1">
      <alignment readingOrder="0"/>
    </xf>
    <xf borderId="0" fillId="4" fontId="2" numFmtId="0" xfId="0" applyFont="1"/>
    <xf borderId="5" fillId="0" fontId="5" numFmtId="0" xfId="0" applyAlignment="1" applyBorder="1" applyFont="1">
      <alignment readingOrder="0"/>
    </xf>
    <xf borderId="5" fillId="4" fontId="2" numFmtId="0" xfId="0" applyAlignment="1" applyBorder="1" applyFont="1">
      <alignment readingOrder="0"/>
    </xf>
    <xf borderId="5" fillId="0" fontId="2" numFmtId="0" xfId="0" applyAlignment="1" applyBorder="1" applyFont="1">
      <alignment readingOrder="0"/>
    </xf>
    <xf borderId="4" fillId="0" fontId="3" numFmtId="0" xfId="0" applyAlignment="1" applyBorder="1" applyFont="1">
      <alignment readingOrder="0"/>
    </xf>
    <xf borderId="4" fillId="0" fontId="2" numFmtId="0" xfId="0" applyAlignment="1" applyBorder="1" applyFont="1">
      <alignment horizontal="right" readingOrder="0"/>
    </xf>
  </cellXfs>
  <cellStyles count="1">
    <cellStyle xfId="0" name="Normal" builtinId="0"/>
  </cellStyles>
  <dxfs count="4">
    <dxf>
      <font>
        <color rgb="FF000000"/>
      </font>
      <fill>
        <patternFill patternType="solid">
          <fgColor rgb="FF00FF00"/>
          <bgColor rgb="FF00FF00"/>
        </patternFill>
      </fill>
      <border/>
    </dxf>
    <dxf>
      <font>
        <color rgb="FF000000"/>
      </font>
      <fill>
        <patternFill patternType="solid">
          <fgColor rgb="FFFF0000"/>
          <bgColor rgb="FFFF0000"/>
        </patternFill>
      </fill>
      <border/>
    </dxf>
    <dxf>
      <font/>
      <fill>
        <patternFill patternType="solid">
          <fgColor rgb="FF00FF00"/>
          <bgColor rgb="FF00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819150</xdr:colOff>
      <xdr:row>18</xdr:row>
      <xdr:rowOff>9525</xdr:rowOff>
    </xdr:from>
    <xdr:ext cx="4972050" cy="8439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230k/"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5.29"/>
    <col customWidth="1" min="2" max="2" width="14.29"/>
    <col customWidth="1" min="3" max="3" width="1.43"/>
    <col customWidth="1" min="4" max="4" width="32.71"/>
    <col customWidth="1" min="5" max="5" width="12.57"/>
    <col customWidth="1" min="6" max="6" width="10.57"/>
    <col customWidth="1" min="7" max="7" width="33.43"/>
    <col customWidth="1" min="8" max="8" width="16.71"/>
    <col customWidth="1" min="9" max="9" width="13.43"/>
    <col customWidth="1" min="10" max="10" width="16.0"/>
    <col customWidth="1" min="13" max="13" width="19.29"/>
  </cols>
  <sheetData>
    <row r="1">
      <c r="A1" s="1" t="s">
        <v>0</v>
      </c>
      <c r="B1" s="2"/>
      <c r="C1" s="2"/>
      <c r="D1" s="2"/>
    </row>
    <row r="2">
      <c r="A2" s="3" t="s">
        <v>1</v>
      </c>
      <c r="B2" s="2"/>
      <c r="C2" s="2"/>
      <c r="D2" s="2"/>
    </row>
    <row r="3">
      <c r="A3" s="3" t="s">
        <v>2</v>
      </c>
      <c r="B3" s="2"/>
      <c r="C3" s="2"/>
      <c r="D3" s="2"/>
    </row>
    <row r="4">
      <c r="A4" s="3" t="s">
        <v>3</v>
      </c>
      <c r="B4" s="2"/>
      <c r="C4" s="2"/>
      <c r="D4" s="2"/>
    </row>
    <row r="5">
      <c r="A5" s="1" t="s">
        <v>4</v>
      </c>
      <c r="B5" s="2"/>
      <c r="C5" s="2"/>
      <c r="D5" s="2"/>
    </row>
    <row r="6">
      <c r="A6" s="3" t="s">
        <v>5</v>
      </c>
      <c r="B6" s="2"/>
      <c r="C6" s="2"/>
      <c r="D6" s="2"/>
    </row>
    <row r="7">
      <c r="A7" s="3" t="s">
        <v>6</v>
      </c>
      <c r="B7" s="2"/>
      <c r="C7" s="2"/>
      <c r="D7" s="2"/>
    </row>
    <row r="8">
      <c r="A8" s="3" t="s">
        <v>7</v>
      </c>
      <c r="B8" s="2"/>
      <c r="C8" s="2"/>
      <c r="D8" s="2"/>
    </row>
    <row r="9">
      <c r="A9" s="3" t="s">
        <v>8</v>
      </c>
      <c r="B9" s="2"/>
      <c r="C9" s="2"/>
      <c r="D9" s="2"/>
    </row>
    <row r="12">
      <c r="A12" s="4" t="s">
        <v>9</v>
      </c>
    </row>
    <row r="13">
      <c r="A13" s="5" t="s">
        <v>10</v>
      </c>
      <c r="B13" s="5" t="s">
        <v>11</v>
      </c>
      <c r="D13" s="5" t="s">
        <v>12</v>
      </c>
      <c r="E13" s="5" t="s">
        <v>13</v>
      </c>
    </row>
    <row r="14">
      <c r="A14" s="5" t="s">
        <v>14</v>
      </c>
      <c r="B14" s="5" t="s">
        <v>15</v>
      </c>
      <c r="D14" s="5" t="s">
        <v>16</v>
      </c>
      <c r="E14" s="5" t="s">
        <v>17</v>
      </c>
    </row>
    <row r="15">
      <c r="A15" s="5" t="s">
        <v>18</v>
      </c>
      <c r="B15" s="5" t="s">
        <v>19</v>
      </c>
      <c r="D15" s="5" t="s">
        <v>20</v>
      </c>
      <c r="E15" s="5" t="s">
        <v>21</v>
      </c>
    </row>
    <row r="16">
      <c r="A16" s="5" t="s">
        <v>22</v>
      </c>
      <c r="B16" s="5" t="s">
        <v>23</v>
      </c>
      <c r="D16" s="5" t="s">
        <v>24</v>
      </c>
      <c r="E16" s="5" t="s">
        <v>25</v>
      </c>
    </row>
    <row r="17">
      <c r="A17" s="5" t="s">
        <v>26</v>
      </c>
      <c r="B17" s="5" t="s">
        <v>27</v>
      </c>
      <c r="D17" s="5" t="s">
        <v>28</v>
      </c>
      <c r="E17" s="5" t="s">
        <v>29</v>
      </c>
    </row>
    <row r="18">
      <c r="A18" s="5" t="s">
        <v>30</v>
      </c>
      <c r="B18" s="5" t="s">
        <v>31</v>
      </c>
      <c r="D18" s="5" t="s">
        <v>32</v>
      </c>
      <c r="E18" s="5" t="s">
        <v>33</v>
      </c>
    </row>
    <row r="19">
      <c r="A19" s="5" t="s">
        <v>34</v>
      </c>
      <c r="B19" s="5" t="s">
        <v>35</v>
      </c>
      <c r="D19" s="5" t="s">
        <v>36</v>
      </c>
      <c r="E19" s="5" t="s">
        <v>37</v>
      </c>
    </row>
    <row r="20">
      <c r="A20" s="5" t="s">
        <v>38</v>
      </c>
      <c r="B20" s="5" t="s">
        <v>39</v>
      </c>
      <c r="D20" s="5" t="s">
        <v>40</v>
      </c>
      <c r="E20" s="5" t="s">
        <v>41</v>
      </c>
    </row>
    <row r="21">
      <c r="A21" s="5" t="s">
        <v>42</v>
      </c>
      <c r="B21" s="5" t="s">
        <v>43</v>
      </c>
      <c r="D21" s="5" t="s">
        <v>44</v>
      </c>
      <c r="E21" s="5" t="s">
        <v>45</v>
      </c>
    </row>
    <row r="22">
      <c r="A22" s="5" t="s">
        <v>46</v>
      </c>
      <c r="B22" s="5" t="s">
        <v>47</v>
      </c>
      <c r="D22" s="5" t="s">
        <v>48</v>
      </c>
      <c r="E22" s="5" t="s">
        <v>49</v>
      </c>
    </row>
    <row r="23">
      <c r="A23" s="5" t="s">
        <v>50</v>
      </c>
      <c r="B23" s="5" t="s">
        <v>51</v>
      </c>
      <c r="D23" s="5" t="s">
        <v>52</v>
      </c>
      <c r="E23" s="5" t="s">
        <v>53</v>
      </c>
    </row>
    <row r="24">
      <c r="A24" s="5" t="s">
        <v>54</v>
      </c>
      <c r="B24" s="5" t="s">
        <v>55</v>
      </c>
      <c r="D24" s="5" t="s">
        <v>56</v>
      </c>
      <c r="E24" s="5" t="s">
        <v>57</v>
      </c>
    </row>
    <row r="25">
      <c r="A25" s="5" t="s">
        <v>58</v>
      </c>
      <c r="B25" s="5" t="s">
        <v>59</v>
      </c>
      <c r="D25" s="5" t="s">
        <v>60</v>
      </c>
      <c r="E25" s="5" t="s">
        <v>61</v>
      </c>
    </row>
    <row r="26">
      <c r="A26" s="5" t="s">
        <v>62</v>
      </c>
      <c r="B26" s="5" t="s">
        <v>63</v>
      </c>
      <c r="D26" s="5" t="s">
        <v>64</v>
      </c>
      <c r="E26" s="5" t="s">
        <v>65</v>
      </c>
    </row>
    <row r="27">
      <c r="A27" s="5" t="s">
        <v>66</v>
      </c>
      <c r="B27" s="5" t="s">
        <v>67</v>
      </c>
      <c r="D27" s="5" t="s">
        <v>68</v>
      </c>
      <c r="E27" s="5" t="s">
        <v>69</v>
      </c>
    </row>
    <row r="30">
      <c r="A30" s="6" t="s">
        <v>70</v>
      </c>
      <c r="B30" s="7">
        <v>44078.08194444444</v>
      </c>
      <c r="C30" s="8"/>
      <c r="D30" s="9" t="s">
        <v>71</v>
      </c>
      <c r="E30" s="10"/>
      <c r="F30" s="10"/>
      <c r="G30" s="10"/>
      <c r="H30" s="10"/>
      <c r="I30" s="10"/>
      <c r="J30" s="10"/>
      <c r="K30" s="9"/>
      <c r="L30" s="10"/>
      <c r="M30" s="10"/>
      <c r="N30" s="10"/>
      <c r="O30" s="10"/>
      <c r="P30" s="11"/>
    </row>
    <row r="31">
      <c r="A31" s="12" t="s">
        <v>72</v>
      </c>
      <c r="B31" s="13">
        <v>1581000.0</v>
      </c>
      <c r="C31" s="14"/>
      <c r="D31" s="15">
        <f>B30</f>
        <v>44078.08194</v>
      </c>
      <c r="E31" s="16" t="s">
        <v>73</v>
      </c>
      <c r="F31" s="17"/>
      <c r="G31" s="16" t="s">
        <v>74</v>
      </c>
      <c r="H31" s="16" t="s">
        <v>75</v>
      </c>
      <c r="I31" s="16" t="s">
        <v>76</v>
      </c>
      <c r="J31" s="18" t="s">
        <v>77</v>
      </c>
      <c r="P31" s="19"/>
    </row>
    <row r="32">
      <c r="A32" s="12" t="s">
        <v>78</v>
      </c>
      <c r="B32" s="13">
        <v>654503.0</v>
      </c>
      <c r="C32" s="14"/>
      <c r="D32" s="20" t="s">
        <v>72</v>
      </c>
      <c r="E32" s="21">
        <f t="shared" ref="E32:E33" si="1">B31</f>
        <v>1581000</v>
      </c>
      <c r="F32" s="20" t="s">
        <v>79</v>
      </c>
      <c r="G32" s="21">
        <f t="shared" ref="G32:G33" si="2">B34</f>
        <v>4</v>
      </c>
      <c r="H32" s="4">
        <f>G32+(G33/60)</f>
        <v>4.166666667</v>
      </c>
      <c r="I32" s="21">
        <f>B39</f>
        <v>6</v>
      </c>
      <c r="J32" s="22" t="s">
        <v>80</v>
      </c>
      <c r="K32" s="23">
        <f>B41/B42</f>
        <v>0</v>
      </c>
      <c r="P32" s="19"/>
    </row>
    <row r="33">
      <c r="A33" s="12" t="s">
        <v>81</v>
      </c>
      <c r="B33" s="14"/>
      <c r="C33" s="14"/>
      <c r="D33" s="20" t="s">
        <v>78</v>
      </c>
      <c r="E33" s="21">
        <f t="shared" si="1"/>
        <v>654503</v>
      </c>
      <c r="F33" s="20" t="s">
        <v>82</v>
      </c>
      <c r="G33" s="21">
        <f t="shared" si="2"/>
        <v>10</v>
      </c>
      <c r="J33" s="22" t="s">
        <v>83</v>
      </c>
      <c r="K33" s="23">
        <f>B43/B44</f>
        <v>0</v>
      </c>
      <c r="P33" s="19"/>
    </row>
    <row r="34">
      <c r="A34" s="24" t="s">
        <v>79</v>
      </c>
      <c r="B34" s="13">
        <v>4.0</v>
      </c>
      <c r="C34" s="14"/>
      <c r="D34" s="20" t="s">
        <v>84</v>
      </c>
      <c r="E34" s="25">
        <f>E32-E33</f>
        <v>926497</v>
      </c>
      <c r="F34" s="26"/>
      <c r="G34" s="16" t="s">
        <v>85</v>
      </c>
      <c r="H34" s="16" t="s">
        <v>86</v>
      </c>
      <c r="I34" s="16" t="s">
        <v>87</v>
      </c>
      <c r="J34" s="22" t="s">
        <v>88</v>
      </c>
      <c r="K34" s="23">
        <f>B45/B46</f>
        <v>0</v>
      </c>
      <c r="P34" s="19"/>
    </row>
    <row r="35">
      <c r="A35" s="24" t="s">
        <v>89</v>
      </c>
      <c r="B35" s="13">
        <v>10.0</v>
      </c>
      <c r="C35" s="14"/>
      <c r="D35" s="16" t="s">
        <v>90</v>
      </c>
      <c r="F35" s="20" t="s">
        <v>79</v>
      </c>
      <c r="G35" s="21">
        <f t="shared" ref="G35:G36" si="3">B37</f>
        <v>2</v>
      </c>
      <c r="H35" s="25">
        <f>G35+(G36/60)</f>
        <v>2.233333333</v>
      </c>
      <c r="I35" s="25">
        <f>H32-H35</f>
        <v>1.933333333</v>
      </c>
      <c r="J35" s="22" t="s">
        <v>91</v>
      </c>
      <c r="K35" s="23">
        <f>B47/B48</f>
        <v>0</v>
      </c>
      <c r="P35" s="19"/>
    </row>
    <row r="36">
      <c r="A36" s="12" t="s">
        <v>85</v>
      </c>
      <c r="B36" s="27"/>
      <c r="C36" s="14"/>
      <c r="D36" s="28" t="s">
        <v>92</v>
      </c>
      <c r="E36" s="25">
        <f>E32/H41</f>
        <v>344945.4545</v>
      </c>
      <c r="F36" s="20" t="s">
        <v>82</v>
      </c>
      <c r="G36" s="21">
        <f t="shared" si="3"/>
        <v>14</v>
      </c>
      <c r="J36" s="22" t="s">
        <v>93</v>
      </c>
      <c r="K36" s="23">
        <f>B49/B50</f>
        <v>0</v>
      </c>
      <c r="P36" s="19"/>
    </row>
    <row r="37">
      <c r="A37" s="24" t="s">
        <v>79</v>
      </c>
      <c r="B37" s="13">
        <v>2.0</v>
      </c>
      <c r="C37" s="14"/>
      <c r="D37" s="28" t="s">
        <v>94</v>
      </c>
      <c r="E37" s="25">
        <f>E32/I32</f>
        <v>263500</v>
      </c>
      <c r="J37" s="22" t="s">
        <v>95</v>
      </c>
      <c r="K37" s="23">
        <f>B51/B52</f>
        <v>0</v>
      </c>
      <c r="P37" s="19"/>
    </row>
    <row r="38">
      <c r="A38" s="24" t="s">
        <v>89</v>
      </c>
      <c r="B38" s="13">
        <v>14.0</v>
      </c>
      <c r="C38" s="14"/>
      <c r="D38" s="28" t="s">
        <v>96</v>
      </c>
      <c r="E38" s="25">
        <f>E36/I32</f>
        <v>57490.90909</v>
      </c>
      <c r="J38" s="29" t="s">
        <v>97</v>
      </c>
      <c r="K38" s="30">
        <f>SUM(K32:K37)</f>
        <v>0</v>
      </c>
      <c r="P38" s="19"/>
    </row>
    <row r="39">
      <c r="A39" s="12" t="s">
        <v>98</v>
      </c>
      <c r="B39" s="13">
        <v>6.0</v>
      </c>
      <c r="C39" s="14"/>
      <c r="D39" s="28" t="s">
        <v>99</v>
      </c>
      <c r="E39" s="31">
        <f>E38/12</f>
        <v>4790.909091</v>
      </c>
      <c r="I39" s="29"/>
      <c r="J39" s="29" t="s">
        <v>100</v>
      </c>
      <c r="K39" s="30">
        <f>H49</f>
        <v>32854.50355</v>
      </c>
      <c r="P39" s="19"/>
    </row>
    <row r="40">
      <c r="A40" s="32"/>
      <c r="B40" s="14"/>
      <c r="C40" s="14"/>
      <c r="D40" s="28" t="s">
        <v>101</v>
      </c>
      <c r="E40" s="25">
        <f>E39*5</f>
        <v>23954.54545</v>
      </c>
      <c r="J40" s="29" t="s">
        <v>102</v>
      </c>
      <c r="K40" s="30">
        <f>E41</f>
        <v>28745.45455</v>
      </c>
      <c r="P40" s="19"/>
    </row>
    <row r="41">
      <c r="A41" s="33" t="s">
        <v>103</v>
      </c>
      <c r="B41" s="34">
        <v>0.0</v>
      </c>
      <c r="C41" s="14"/>
      <c r="D41" s="28" t="s">
        <v>104</v>
      </c>
      <c r="E41" s="25">
        <f>E39*6</f>
        <v>28745.45455</v>
      </c>
      <c r="G41" s="35" t="s">
        <v>105</v>
      </c>
      <c r="H41" s="36">
        <f>H32+(25/60)</f>
        <v>4.583333333</v>
      </c>
      <c r="J41" s="29" t="s">
        <v>106</v>
      </c>
      <c r="K41" s="30">
        <f>E49</f>
        <v>24421.75373</v>
      </c>
      <c r="P41" s="19"/>
    </row>
    <row r="42">
      <c r="A42" s="37" t="s">
        <v>107</v>
      </c>
      <c r="B42" s="38">
        <v>1.0</v>
      </c>
      <c r="C42" s="14"/>
      <c r="G42" s="35" t="s">
        <v>108</v>
      </c>
      <c r="H42" s="36">
        <f>I35+(25/60)</f>
        <v>2.35</v>
      </c>
      <c r="I42" s="39" t="s">
        <v>109</v>
      </c>
      <c r="P42" s="19"/>
    </row>
    <row r="43">
      <c r="A43" s="40" t="s">
        <v>110</v>
      </c>
      <c r="B43" s="13">
        <v>0.0</v>
      </c>
      <c r="C43" s="14"/>
      <c r="D43" s="16" t="s">
        <v>111</v>
      </c>
      <c r="G43" s="16" t="s">
        <v>112</v>
      </c>
      <c r="H43" s="36"/>
      <c r="I43" s="39" t="s">
        <v>113</v>
      </c>
      <c r="P43" s="19"/>
    </row>
    <row r="44">
      <c r="A44" s="37" t="s">
        <v>114</v>
      </c>
      <c r="B44" s="38">
        <v>1.0</v>
      </c>
      <c r="C44" s="14"/>
      <c r="D44" s="28" t="s">
        <v>92</v>
      </c>
      <c r="E44" s="25">
        <f>E33/H35</f>
        <v>293061.0448</v>
      </c>
      <c r="G44" s="28" t="s">
        <v>92</v>
      </c>
      <c r="H44" s="36">
        <f>E34/H42</f>
        <v>394254.0426</v>
      </c>
      <c r="I44" s="39" t="s">
        <v>115</v>
      </c>
      <c r="P44" s="19"/>
    </row>
    <row r="45">
      <c r="A45" s="40" t="s">
        <v>116</v>
      </c>
      <c r="B45" s="13">
        <v>0.0</v>
      </c>
      <c r="C45" s="14"/>
      <c r="D45" s="28" t="s">
        <v>94</v>
      </c>
      <c r="E45" s="25">
        <f>E33/I32</f>
        <v>109083.8333</v>
      </c>
      <c r="G45" s="28" t="s">
        <v>94</v>
      </c>
      <c r="H45" s="36">
        <f>E34/I32</f>
        <v>154416.1667</v>
      </c>
      <c r="I45" s="39" t="s">
        <v>117</v>
      </c>
      <c r="P45" s="19"/>
    </row>
    <row r="46">
      <c r="A46" s="37" t="s">
        <v>118</v>
      </c>
      <c r="B46" s="38">
        <v>1.0</v>
      </c>
      <c r="C46" s="14"/>
      <c r="D46" s="28" t="s">
        <v>96</v>
      </c>
      <c r="E46" s="25">
        <f>E45/H35</f>
        <v>48843.50746</v>
      </c>
      <c r="G46" s="28" t="s">
        <v>96</v>
      </c>
      <c r="H46" s="36">
        <f>H45/H42</f>
        <v>65709.00709</v>
      </c>
      <c r="P46" s="19"/>
    </row>
    <row r="47">
      <c r="A47" s="40" t="s">
        <v>119</v>
      </c>
      <c r="B47" s="13">
        <v>0.0</v>
      </c>
      <c r="C47" s="14"/>
      <c r="D47" s="28" t="s">
        <v>99</v>
      </c>
      <c r="E47" s="25">
        <f>E46/12</f>
        <v>4070.292289</v>
      </c>
      <c r="G47" s="28" t="s">
        <v>99</v>
      </c>
      <c r="H47" s="36">
        <f>H46/12</f>
        <v>5475.750591</v>
      </c>
      <c r="P47" s="19"/>
    </row>
    <row r="48">
      <c r="A48" s="37" t="s">
        <v>120</v>
      </c>
      <c r="B48" s="38">
        <v>1.0</v>
      </c>
      <c r="C48" s="14"/>
      <c r="D48" s="28" t="s">
        <v>101</v>
      </c>
      <c r="E48" s="25">
        <f>E47*5</f>
        <v>20351.46144</v>
      </c>
      <c r="G48" s="28" t="s">
        <v>101</v>
      </c>
      <c r="H48" s="36">
        <f>H47*5</f>
        <v>27378.75296</v>
      </c>
      <c r="P48" s="19"/>
    </row>
    <row r="49">
      <c r="A49" s="40" t="s">
        <v>121</v>
      </c>
      <c r="B49" s="13">
        <v>0.0</v>
      </c>
      <c r="C49" s="14"/>
      <c r="D49" s="28" t="s">
        <v>104</v>
      </c>
      <c r="E49" s="25">
        <f>E47*6</f>
        <v>24421.75373</v>
      </c>
      <c r="G49" s="28" t="s">
        <v>104</v>
      </c>
      <c r="H49" s="36">
        <f>H47*6</f>
        <v>32854.50355</v>
      </c>
      <c r="P49" s="19"/>
    </row>
    <row r="50">
      <c r="A50" s="37" t="s">
        <v>122</v>
      </c>
      <c r="B50" s="38">
        <v>1.0</v>
      </c>
      <c r="C50" s="14"/>
      <c r="P50" s="19"/>
    </row>
    <row r="51">
      <c r="A51" s="40" t="s">
        <v>123</v>
      </c>
      <c r="B51" s="13">
        <v>0.0</v>
      </c>
      <c r="C51" s="14"/>
      <c r="D51" s="28" t="s">
        <v>124</v>
      </c>
      <c r="E51" s="41"/>
      <c r="F51" s="41"/>
      <c r="P51" s="19"/>
    </row>
    <row r="52">
      <c r="A52" s="37" t="s">
        <v>125</v>
      </c>
      <c r="B52" s="38">
        <v>1.0</v>
      </c>
      <c r="C52" s="14"/>
      <c r="D52" s="4" t="s">
        <v>126</v>
      </c>
      <c r="E52" s="25">
        <f t="shared" ref="E52:E55" si="4">H46-E46</f>
        <v>16865.49963</v>
      </c>
      <c r="P52" s="19"/>
    </row>
    <row r="53">
      <c r="A53" s="42" t="s">
        <v>127</v>
      </c>
      <c r="C53" s="14"/>
      <c r="D53" s="4" t="s">
        <v>128</v>
      </c>
      <c r="E53" s="25">
        <f t="shared" si="4"/>
        <v>1405.458302</v>
      </c>
      <c r="P53" s="19"/>
    </row>
    <row r="54">
      <c r="A54" s="32"/>
      <c r="C54" s="14"/>
      <c r="D54" s="4" t="s">
        <v>129</v>
      </c>
      <c r="E54" s="25">
        <f t="shared" si="4"/>
        <v>7027.291512</v>
      </c>
      <c r="G54" s="43"/>
      <c r="P54" s="19"/>
    </row>
    <row r="55">
      <c r="A55" s="32"/>
      <c r="C55" s="14"/>
      <c r="D55" s="4" t="s">
        <v>130</v>
      </c>
      <c r="E55" s="25">
        <f t="shared" si="4"/>
        <v>8432.749815</v>
      </c>
      <c r="P55" s="19"/>
    </row>
    <row r="56">
      <c r="A56" s="24"/>
      <c r="C56" s="14"/>
      <c r="D56" s="28" t="s">
        <v>131</v>
      </c>
      <c r="P56" s="19"/>
    </row>
    <row r="57">
      <c r="A57" s="32"/>
      <c r="C57" s="14"/>
      <c r="D57" s="4" t="s">
        <v>132</v>
      </c>
      <c r="E57" s="25">
        <f t="shared" ref="E57:E60" si="5">H46-E38</f>
        <v>8218.098001</v>
      </c>
      <c r="P57" s="19"/>
    </row>
    <row r="58">
      <c r="A58" s="32"/>
      <c r="C58" s="14"/>
      <c r="D58" s="4" t="s">
        <v>133</v>
      </c>
      <c r="E58" s="25">
        <f t="shared" si="5"/>
        <v>684.8415001</v>
      </c>
      <c r="G58" s="28" t="s">
        <v>134</v>
      </c>
      <c r="I58" s="35" t="s">
        <v>135</v>
      </c>
      <c r="J58" s="35" t="s">
        <v>82</v>
      </c>
      <c r="P58" s="19"/>
    </row>
    <row r="59">
      <c r="A59" s="32"/>
      <c r="C59" s="14"/>
      <c r="D59" s="4" t="s">
        <v>136</v>
      </c>
      <c r="E59" s="25">
        <f t="shared" si="5"/>
        <v>3424.207501</v>
      </c>
      <c r="G59" s="35" t="s">
        <v>137</v>
      </c>
      <c r="H59" s="25">
        <f>(E32/H44)-(25/60)</f>
        <v>3.593438061</v>
      </c>
      <c r="I59" s="25">
        <f t="shared" ref="I59:I60" si="6">INT(H59)</f>
        <v>3</v>
      </c>
      <c r="J59" s="36">
        <f t="shared" ref="J59:J60" si="7">INT((H59-I59)*60)</f>
        <v>35</v>
      </c>
      <c r="P59" s="19"/>
    </row>
    <row r="60">
      <c r="A60" s="44"/>
      <c r="B60" s="45"/>
      <c r="C60" s="46"/>
      <c r="D60" s="47" t="s">
        <v>138</v>
      </c>
      <c r="E60" s="45">
        <f t="shared" si="5"/>
        <v>4109.049001</v>
      </c>
      <c r="F60" s="45"/>
      <c r="G60" s="48" t="s">
        <v>139</v>
      </c>
      <c r="H60" s="45">
        <f>H32-H59</f>
        <v>0.5732286055</v>
      </c>
      <c r="I60" s="45">
        <f t="shared" si="6"/>
        <v>0</v>
      </c>
      <c r="J60" s="49">
        <f t="shared" si="7"/>
        <v>34</v>
      </c>
      <c r="K60" s="45"/>
      <c r="L60" s="45"/>
      <c r="M60" s="45"/>
      <c r="N60" s="45"/>
      <c r="O60" s="45"/>
      <c r="P60" s="50"/>
    </row>
    <row r="61">
      <c r="A61" s="51"/>
      <c r="B61" s="51"/>
      <c r="D61" s="51"/>
    </row>
    <row r="62">
      <c r="D62" s="51"/>
      <c r="I62" s="51"/>
    </row>
    <row r="63">
      <c r="D63" s="51"/>
      <c r="I63" s="51"/>
    </row>
    <row r="64">
      <c r="A64" s="51"/>
      <c r="D64" s="51"/>
      <c r="G64" s="51"/>
    </row>
    <row r="65">
      <c r="A65" s="51"/>
      <c r="G65" s="51"/>
    </row>
    <row r="66">
      <c r="A66" s="51"/>
      <c r="D66" s="51"/>
      <c r="G66" s="51"/>
    </row>
    <row r="67">
      <c r="A67" s="51"/>
      <c r="D67" s="51"/>
      <c r="G67" s="51"/>
    </row>
    <row r="68">
      <c r="A68" s="51"/>
      <c r="D68" s="51"/>
      <c r="G68" s="51"/>
    </row>
    <row r="69">
      <c r="A69" s="51"/>
      <c r="D69" s="51"/>
      <c r="G69" s="51"/>
    </row>
    <row r="70">
      <c r="A70" s="6" t="s">
        <v>70</v>
      </c>
      <c r="B70" s="52"/>
      <c r="C70" s="8"/>
      <c r="D70" s="9" t="s">
        <v>71</v>
      </c>
      <c r="E70" s="10"/>
      <c r="F70" s="10"/>
      <c r="G70" s="10"/>
      <c r="H70" s="10"/>
      <c r="I70" s="10"/>
      <c r="J70" s="10"/>
      <c r="K70" s="9"/>
      <c r="L70" s="10"/>
      <c r="M70" s="10"/>
      <c r="N70" s="10"/>
      <c r="O70" s="10"/>
      <c r="P70" s="11"/>
    </row>
    <row r="71">
      <c r="A71" s="12" t="s">
        <v>72</v>
      </c>
      <c r="B71" s="13">
        <v>1000000.0</v>
      </c>
      <c r="C71" s="14"/>
      <c r="D71" s="53" t="str">
        <f>B70</f>
        <v/>
      </c>
      <c r="E71" s="16" t="s">
        <v>73</v>
      </c>
      <c r="F71" s="17"/>
      <c r="G71" s="16" t="s">
        <v>74</v>
      </c>
      <c r="H71" s="16" t="s">
        <v>75</v>
      </c>
      <c r="I71" s="16" t="s">
        <v>76</v>
      </c>
      <c r="J71" s="18" t="s">
        <v>77</v>
      </c>
      <c r="P71" s="19"/>
    </row>
    <row r="72">
      <c r="A72" s="12" t="s">
        <v>78</v>
      </c>
      <c r="B72" s="13">
        <v>1000000.0</v>
      </c>
      <c r="C72" s="14"/>
      <c r="D72" s="20" t="s">
        <v>72</v>
      </c>
      <c r="E72" s="21">
        <f t="shared" ref="E72:E73" si="8">B71</f>
        <v>1000000</v>
      </c>
      <c r="F72" s="20" t="s">
        <v>79</v>
      </c>
      <c r="G72" s="21">
        <f t="shared" ref="G72:G73" si="9">B74</f>
        <v>4</v>
      </c>
      <c r="H72" s="4">
        <f>G72+(G73/60)</f>
        <v>4.166666667</v>
      </c>
      <c r="I72" s="21">
        <f>B79</f>
        <v>6</v>
      </c>
      <c r="J72" s="22" t="s">
        <v>80</v>
      </c>
      <c r="K72" s="23">
        <f>B81/B82</f>
        <v>0</v>
      </c>
      <c r="P72" s="19"/>
    </row>
    <row r="73">
      <c r="A73" s="12" t="s">
        <v>81</v>
      </c>
      <c r="B73" s="14"/>
      <c r="C73" s="14"/>
      <c r="D73" s="20" t="s">
        <v>78</v>
      </c>
      <c r="E73" s="21">
        <f t="shared" si="8"/>
        <v>1000000</v>
      </c>
      <c r="F73" s="20" t="s">
        <v>82</v>
      </c>
      <c r="G73" s="21">
        <f t="shared" si="9"/>
        <v>10</v>
      </c>
      <c r="J73" s="22" t="s">
        <v>83</v>
      </c>
      <c r="K73" s="23">
        <f>B83/B84</f>
        <v>0</v>
      </c>
      <c r="P73" s="19"/>
    </row>
    <row r="74">
      <c r="A74" s="24" t="s">
        <v>79</v>
      </c>
      <c r="B74" s="13">
        <v>4.0</v>
      </c>
      <c r="C74" s="14"/>
      <c r="D74" s="20" t="s">
        <v>84</v>
      </c>
      <c r="E74" s="25">
        <f>E72-E73</f>
        <v>0</v>
      </c>
      <c r="F74" s="26"/>
      <c r="G74" s="16" t="s">
        <v>85</v>
      </c>
      <c r="H74" s="16" t="s">
        <v>86</v>
      </c>
      <c r="I74" s="16" t="s">
        <v>87</v>
      </c>
      <c r="J74" s="22" t="s">
        <v>88</v>
      </c>
      <c r="K74" s="23">
        <f>B85/B86</f>
        <v>0</v>
      </c>
      <c r="P74" s="19"/>
    </row>
    <row r="75">
      <c r="A75" s="24" t="s">
        <v>89</v>
      </c>
      <c r="B75" s="13">
        <v>10.0</v>
      </c>
      <c r="C75" s="14"/>
      <c r="D75" s="16" t="s">
        <v>90</v>
      </c>
      <c r="F75" s="20" t="s">
        <v>79</v>
      </c>
      <c r="G75" s="21">
        <f t="shared" ref="G75:G76" si="10">B77</f>
        <v>4</v>
      </c>
      <c r="H75" s="25">
        <f>G75+(G76/60)</f>
        <v>4.166666667</v>
      </c>
      <c r="I75" s="25">
        <f>H72-H75</f>
        <v>0</v>
      </c>
      <c r="J75" s="22" t="s">
        <v>91</v>
      </c>
      <c r="K75" s="23">
        <f>B87/B88</f>
        <v>0</v>
      </c>
      <c r="P75" s="19"/>
    </row>
    <row r="76">
      <c r="A76" s="12" t="s">
        <v>85</v>
      </c>
      <c r="B76" s="27"/>
      <c r="C76" s="14"/>
      <c r="D76" s="28" t="s">
        <v>92</v>
      </c>
      <c r="E76" s="25">
        <f>E72/H81</f>
        <v>218181.8182</v>
      </c>
      <c r="F76" s="20" t="s">
        <v>82</v>
      </c>
      <c r="G76" s="21">
        <f t="shared" si="10"/>
        <v>10</v>
      </c>
      <c r="J76" s="22" t="s">
        <v>93</v>
      </c>
      <c r="K76" s="23">
        <f>B89/B90</f>
        <v>0</v>
      </c>
      <c r="P76" s="19"/>
    </row>
    <row r="77">
      <c r="A77" s="24" t="s">
        <v>79</v>
      </c>
      <c r="B77" s="13">
        <v>4.0</v>
      </c>
      <c r="C77" s="14"/>
      <c r="D77" s="28" t="s">
        <v>94</v>
      </c>
      <c r="E77" s="25">
        <f>E72/I72</f>
        <v>166666.6667</v>
      </c>
      <c r="J77" s="22" t="s">
        <v>95</v>
      </c>
      <c r="K77" s="23">
        <f>B91/B92</f>
        <v>0</v>
      </c>
      <c r="P77" s="19"/>
    </row>
    <row r="78">
      <c r="A78" s="24" t="s">
        <v>89</v>
      </c>
      <c r="B78" s="13">
        <v>10.0</v>
      </c>
      <c r="C78" s="14"/>
      <c r="D78" s="28" t="s">
        <v>96</v>
      </c>
      <c r="E78" s="25">
        <f>E76/I72</f>
        <v>36363.63636</v>
      </c>
      <c r="J78" s="29" t="s">
        <v>97</v>
      </c>
      <c r="K78" s="30">
        <f>SUM(K72:K77)</f>
        <v>0</v>
      </c>
      <c r="P78" s="19"/>
    </row>
    <row r="79">
      <c r="A79" s="12" t="s">
        <v>98</v>
      </c>
      <c r="B79" s="13">
        <v>6.0</v>
      </c>
      <c r="C79" s="14"/>
      <c r="D79" s="28" t="s">
        <v>99</v>
      </c>
      <c r="E79" s="31">
        <f>E78/12</f>
        <v>3030.30303</v>
      </c>
      <c r="I79" s="29"/>
      <c r="J79" s="29" t="s">
        <v>100</v>
      </c>
      <c r="K79" s="30">
        <f>H89</f>
        <v>0</v>
      </c>
      <c r="P79" s="19"/>
    </row>
    <row r="80">
      <c r="A80" s="32"/>
      <c r="B80" s="14"/>
      <c r="C80" s="14"/>
      <c r="D80" s="28" t="s">
        <v>101</v>
      </c>
      <c r="E80" s="25">
        <f>E79*5</f>
        <v>15151.51515</v>
      </c>
      <c r="J80" s="29" t="s">
        <v>102</v>
      </c>
      <c r="K80" s="30">
        <f>E81</f>
        <v>18181.81818</v>
      </c>
      <c r="P80" s="19"/>
    </row>
    <row r="81">
      <c r="A81" s="33" t="s">
        <v>103</v>
      </c>
      <c r="B81" s="34">
        <v>0.0</v>
      </c>
      <c r="C81" s="14"/>
      <c r="D81" s="28" t="s">
        <v>104</v>
      </c>
      <c r="E81" s="25">
        <f>E79*6</f>
        <v>18181.81818</v>
      </c>
      <c r="G81" s="35" t="s">
        <v>105</v>
      </c>
      <c r="H81" s="36">
        <f>H72+(25/60)</f>
        <v>4.583333333</v>
      </c>
      <c r="J81" s="29" t="s">
        <v>106</v>
      </c>
      <c r="K81" s="30">
        <f>E89</f>
        <v>20000</v>
      </c>
      <c r="P81" s="19"/>
    </row>
    <row r="82">
      <c r="A82" s="37" t="s">
        <v>107</v>
      </c>
      <c r="B82" s="38">
        <v>1.0</v>
      </c>
      <c r="C82" s="14"/>
      <c r="G82" s="35" t="s">
        <v>108</v>
      </c>
      <c r="H82" s="36">
        <f>I75+(25/60)</f>
        <v>0.4166666667</v>
      </c>
      <c r="I82" s="39" t="s">
        <v>109</v>
      </c>
      <c r="P82" s="19"/>
    </row>
    <row r="83">
      <c r="A83" s="40" t="s">
        <v>110</v>
      </c>
      <c r="B83" s="13">
        <v>0.0</v>
      </c>
      <c r="C83" s="14"/>
      <c r="D83" s="16" t="s">
        <v>111</v>
      </c>
      <c r="G83" s="16" t="s">
        <v>112</v>
      </c>
      <c r="H83" s="36"/>
      <c r="I83" s="39" t="s">
        <v>113</v>
      </c>
      <c r="P83" s="19"/>
    </row>
    <row r="84">
      <c r="A84" s="37" t="s">
        <v>114</v>
      </c>
      <c r="B84" s="38">
        <v>1.0</v>
      </c>
      <c r="C84" s="14"/>
      <c r="D84" s="28" t="s">
        <v>92</v>
      </c>
      <c r="E84" s="25">
        <f>E73/H75</f>
        <v>240000</v>
      </c>
      <c r="G84" s="28" t="s">
        <v>92</v>
      </c>
      <c r="H84" s="36">
        <f>E74/H82</f>
        <v>0</v>
      </c>
      <c r="I84" s="39" t="s">
        <v>115</v>
      </c>
      <c r="P84" s="19"/>
    </row>
    <row r="85">
      <c r="A85" s="40" t="s">
        <v>116</v>
      </c>
      <c r="B85" s="13">
        <v>0.0</v>
      </c>
      <c r="C85" s="14"/>
      <c r="D85" s="28" t="s">
        <v>94</v>
      </c>
      <c r="E85" s="25">
        <f>E73/I72</f>
        <v>166666.6667</v>
      </c>
      <c r="G85" s="28" t="s">
        <v>94</v>
      </c>
      <c r="H85" s="36">
        <f>E74/I72</f>
        <v>0</v>
      </c>
      <c r="I85" s="39" t="s">
        <v>117</v>
      </c>
      <c r="P85" s="19"/>
    </row>
    <row r="86">
      <c r="A86" s="37" t="s">
        <v>118</v>
      </c>
      <c r="B86" s="38">
        <v>1.0</v>
      </c>
      <c r="C86" s="14"/>
      <c r="D86" s="28" t="s">
        <v>96</v>
      </c>
      <c r="E86" s="25">
        <f>E85/H75</f>
        <v>40000</v>
      </c>
      <c r="G86" s="28" t="s">
        <v>96</v>
      </c>
      <c r="H86" s="36">
        <f>H85/H82</f>
        <v>0</v>
      </c>
      <c r="P86" s="19"/>
    </row>
    <row r="87">
      <c r="A87" s="40" t="s">
        <v>119</v>
      </c>
      <c r="B87" s="13">
        <v>0.0</v>
      </c>
      <c r="C87" s="14"/>
      <c r="D87" s="28" t="s">
        <v>99</v>
      </c>
      <c r="E87" s="25">
        <f>E86/12</f>
        <v>3333.333333</v>
      </c>
      <c r="G87" s="28" t="s">
        <v>99</v>
      </c>
      <c r="H87" s="36">
        <f>H86/12</f>
        <v>0</v>
      </c>
      <c r="P87" s="19"/>
    </row>
    <row r="88">
      <c r="A88" s="37" t="s">
        <v>120</v>
      </c>
      <c r="B88" s="38">
        <v>1.0</v>
      </c>
      <c r="C88" s="14"/>
      <c r="D88" s="28" t="s">
        <v>101</v>
      </c>
      <c r="E88" s="25">
        <f>E87*5</f>
        <v>16666.66667</v>
      </c>
      <c r="G88" s="28" t="s">
        <v>101</v>
      </c>
      <c r="H88" s="36">
        <f>H87*5</f>
        <v>0</v>
      </c>
      <c r="P88" s="19"/>
    </row>
    <row r="89">
      <c r="A89" s="40" t="s">
        <v>121</v>
      </c>
      <c r="B89" s="13">
        <v>0.0</v>
      </c>
      <c r="C89" s="14"/>
      <c r="D89" s="28" t="s">
        <v>104</v>
      </c>
      <c r="E89" s="25">
        <f>E87*6</f>
        <v>20000</v>
      </c>
      <c r="G89" s="28" t="s">
        <v>104</v>
      </c>
      <c r="H89" s="36">
        <f>H87*6</f>
        <v>0</v>
      </c>
      <c r="P89" s="19"/>
    </row>
    <row r="90">
      <c r="A90" s="37" t="s">
        <v>122</v>
      </c>
      <c r="B90" s="38">
        <v>1.0</v>
      </c>
      <c r="C90" s="14"/>
      <c r="P90" s="19"/>
    </row>
    <row r="91">
      <c r="A91" s="40" t="s">
        <v>123</v>
      </c>
      <c r="B91" s="13">
        <v>0.0</v>
      </c>
      <c r="C91" s="14"/>
      <c r="D91" s="28" t="s">
        <v>124</v>
      </c>
      <c r="E91" s="41"/>
      <c r="F91" s="41"/>
      <c r="P91" s="19"/>
    </row>
    <row r="92">
      <c r="A92" s="37" t="s">
        <v>125</v>
      </c>
      <c r="B92" s="38">
        <v>1.0</v>
      </c>
      <c r="C92" s="14"/>
      <c r="D92" s="4" t="s">
        <v>126</v>
      </c>
      <c r="E92" s="25">
        <f t="shared" ref="E92:E95" si="11">H86-E86</f>
        <v>-40000</v>
      </c>
      <c r="P92" s="19"/>
    </row>
    <row r="93">
      <c r="A93" s="42" t="s">
        <v>127</v>
      </c>
      <c r="C93" s="14"/>
      <c r="D93" s="4" t="s">
        <v>128</v>
      </c>
      <c r="E93" s="25">
        <f t="shared" si="11"/>
        <v>-3333.333333</v>
      </c>
      <c r="P93" s="19"/>
    </row>
    <row r="94">
      <c r="A94" s="32"/>
      <c r="C94" s="14"/>
      <c r="D94" s="4" t="s">
        <v>129</v>
      </c>
      <c r="E94" s="25">
        <f t="shared" si="11"/>
        <v>-16666.66667</v>
      </c>
      <c r="G94" s="43"/>
      <c r="P94" s="19"/>
    </row>
    <row r="95">
      <c r="A95" s="32"/>
      <c r="C95" s="14"/>
      <c r="D95" s="4" t="s">
        <v>130</v>
      </c>
      <c r="E95" s="25">
        <f t="shared" si="11"/>
        <v>-20000</v>
      </c>
      <c r="P95" s="19"/>
    </row>
    <row r="96">
      <c r="A96" s="24"/>
      <c r="C96" s="14"/>
      <c r="D96" s="28" t="s">
        <v>131</v>
      </c>
      <c r="P96" s="19"/>
    </row>
    <row r="97">
      <c r="A97" s="32"/>
      <c r="C97" s="14"/>
      <c r="D97" s="4" t="s">
        <v>132</v>
      </c>
      <c r="E97" s="25">
        <f t="shared" ref="E97:E100" si="12">H86-E78</f>
        <v>-36363.63636</v>
      </c>
      <c r="P97" s="19"/>
    </row>
    <row r="98">
      <c r="A98" s="32"/>
      <c r="C98" s="14"/>
      <c r="D98" s="4" t="s">
        <v>133</v>
      </c>
      <c r="E98" s="25">
        <f t="shared" si="12"/>
        <v>-3030.30303</v>
      </c>
      <c r="G98" s="28" t="s">
        <v>134</v>
      </c>
      <c r="I98" s="35" t="s">
        <v>135</v>
      </c>
      <c r="J98" s="35" t="s">
        <v>82</v>
      </c>
      <c r="P98" s="19"/>
    </row>
    <row r="99">
      <c r="A99" s="32"/>
      <c r="C99" s="14"/>
      <c r="D99" s="4" t="s">
        <v>136</v>
      </c>
      <c r="E99" s="25">
        <f t="shared" si="12"/>
        <v>-15151.51515</v>
      </c>
      <c r="G99" s="35" t="s">
        <v>137</v>
      </c>
      <c r="H99" s="25" t="str">
        <f>(E72/H84)-(25/60)</f>
        <v>#DIV/0!</v>
      </c>
      <c r="I99" s="25" t="str">
        <f t="shared" ref="I99:I100" si="13">INT(H99)</f>
        <v>#DIV/0!</v>
      </c>
      <c r="J99" s="36" t="str">
        <f t="shared" ref="J99:J100" si="14">INT((H99-I99)*60)</f>
        <v>#DIV/0!</v>
      </c>
      <c r="P99" s="19"/>
    </row>
    <row r="100">
      <c r="A100" s="44"/>
      <c r="B100" s="45"/>
      <c r="C100" s="46"/>
      <c r="D100" s="47" t="s">
        <v>138</v>
      </c>
      <c r="E100" s="45">
        <f t="shared" si="12"/>
        <v>-18181.81818</v>
      </c>
      <c r="F100" s="45"/>
      <c r="G100" s="48" t="s">
        <v>139</v>
      </c>
      <c r="H100" s="45" t="str">
        <f>H72-H99</f>
        <v>#DIV/0!</v>
      </c>
      <c r="I100" s="45" t="str">
        <f t="shared" si="13"/>
        <v>#DIV/0!</v>
      </c>
      <c r="J100" s="49" t="str">
        <f t="shared" si="14"/>
        <v>#DIV/0!</v>
      </c>
      <c r="K100" s="45"/>
      <c r="L100" s="45"/>
      <c r="M100" s="45"/>
      <c r="N100" s="45"/>
      <c r="O100" s="45"/>
      <c r="P100" s="50"/>
    </row>
    <row r="101">
      <c r="A101" s="51"/>
      <c r="D101" s="51"/>
      <c r="G101" s="51"/>
    </row>
    <row r="102">
      <c r="A102" s="51"/>
    </row>
    <row r="103">
      <c r="A103" s="51"/>
      <c r="D103" s="51"/>
    </row>
    <row r="104">
      <c r="A104" s="51"/>
    </row>
    <row r="105">
      <c r="A105" s="51"/>
      <c r="G105" s="51"/>
    </row>
    <row r="107">
      <c r="D107" s="51"/>
    </row>
    <row r="110">
      <c r="A110" s="6" t="s">
        <v>70</v>
      </c>
      <c r="B110" s="52"/>
      <c r="C110" s="8"/>
      <c r="D110" s="9" t="s">
        <v>71</v>
      </c>
      <c r="E110" s="10"/>
      <c r="F110" s="10"/>
      <c r="G110" s="10"/>
      <c r="H110" s="10"/>
      <c r="I110" s="10"/>
      <c r="J110" s="10"/>
      <c r="K110" s="9"/>
      <c r="L110" s="10"/>
      <c r="M110" s="10"/>
      <c r="N110" s="10"/>
      <c r="O110" s="10"/>
      <c r="P110" s="11"/>
    </row>
    <row r="111">
      <c r="A111" s="12" t="s">
        <v>72</v>
      </c>
      <c r="B111" s="13">
        <v>1000000.0</v>
      </c>
      <c r="C111" s="14"/>
      <c r="D111" s="53" t="str">
        <f>B110</f>
        <v/>
      </c>
      <c r="E111" s="16" t="s">
        <v>73</v>
      </c>
      <c r="F111" s="17"/>
      <c r="G111" s="16" t="s">
        <v>74</v>
      </c>
      <c r="H111" s="16" t="s">
        <v>75</v>
      </c>
      <c r="I111" s="16" t="s">
        <v>76</v>
      </c>
      <c r="J111" s="18" t="s">
        <v>77</v>
      </c>
      <c r="P111" s="19"/>
    </row>
    <row r="112">
      <c r="A112" s="12" t="s">
        <v>78</v>
      </c>
      <c r="B112" s="13">
        <v>1000000.0</v>
      </c>
      <c r="C112" s="14"/>
      <c r="D112" s="20" t="s">
        <v>72</v>
      </c>
      <c r="E112" s="21">
        <f t="shared" ref="E112:E113" si="15">B111</f>
        <v>1000000</v>
      </c>
      <c r="F112" s="20" t="s">
        <v>79</v>
      </c>
      <c r="G112" s="21">
        <f t="shared" ref="G112:G113" si="16">B114</f>
        <v>4</v>
      </c>
      <c r="H112" s="4">
        <f>G112+(G113/60)</f>
        <v>4.166666667</v>
      </c>
      <c r="I112" s="21">
        <f>B119</f>
        <v>6</v>
      </c>
      <c r="J112" s="22" t="s">
        <v>80</v>
      </c>
      <c r="K112" s="23">
        <f>B121/B122</f>
        <v>0</v>
      </c>
      <c r="P112" s="19"/>
    </row>
    <row r="113">
      <c r="A113" s="12" t="s">
        <v>81</v>
      </c>
      <c r="B113" s="14"/>
      <c r="C113" s="14"/>
      <c r="D113" s="20" t="s">
        <v>78</v>
      </c>
      <c r="E113" s="21">
        <f t="shared" si="15"/>
        <v>1000000</v>
      </c>
      <c r="F113" s="20" t="s">
        <v>82</v>
      </c>
      <c r="G113" s="21">
        <f t="shared" si="16"/>
        <v>10</v>
      </c>
      <c r="J113" s="22" t="s">
        <v>83</v>
      </c>
      <c r="K113" s="23">
        <f>B123/B124</f>
        <v>0</v>
      </c>
      <c r="P113" s="19"/>
    </row>
    <row r="114">
      <c r="A114" s="24" t="s">
        <v>79</v>
      </c>
      <c r="B114" s="13">
        <v>4.0</v>
      </c>
      <c r="C114" s="14"/>
      <c r="D114" s="20" t="s">
        <v>84</v>
      </c>
      <c r="E114" s="25">
        <f>E112-E113</f>
        <v>0</v>
      </c>
      <c r="F114" s="26"/>
      <c r="G114" s="16" t="s">
        <v>85</v>
      </c>
      <c r="H114" s="16" t="s">
        <v>86</v>
      </c>
      <c r="I114" s="16" t="s">
        <v>87</v>
      </c>
      <c r="J114" s="22" t="s">
        <v>88</v>
      </c>
      <c r="K114" s="23">
        <f>B125/B126</f>
        <v>0</v>
      </c>
      <c r="P114" s="19"/>
    </row>
    <row r="115">
      <c r="A115" s="24" t="s">
        <v>89</v>
      </c>
      <c r="B115" s="13">
        <v>10.0</v>
      </c>
      <c r="C115" s="14"/>
      <c r="D115" s="16" t="s">
        <v>90</v>
      </c>
      <c r="F115" s="20" t="s">
        <v>79</v>
      </c>
      <c r="G115" s="21">
        <f t="shared" ref="G115:G116" si="17">B117</f>
        <v>4</v>
      </c>
      <c r="H115" s="25">
        <f>G115+(G116/60)</f>
        <v>4.166666667</v>
      </c>
      <c r="I115" s="25">
        <f>H112-H115</f>
        <v>0</v>
      </c>
      <c r="J115" s="22" t="s">
        <v>91</v>
      </c>
      <c r="K115" s="23">
        <f>B127/B128</f>
        <v>0</v>
      </c>
      <c r="P115" s="19"/>
    </row>
    <row r="116">
      <c r="A116" s="12" t="s">
        <v>85</v>
      </c>
      <c r="B116" s="27"/>
      <c r="C116" s="14"/>
      <c r="D116" s="28" t="s">
        <v>92</v>
      </c>
      <c r="E116" s="25">
        <f>E112/H121</f>
        <v>218181.8182</v>
      </c>
      <c r="F116" s="20" t="s">
        <v>82</v>
      </c>
      <c r="G116" s="21">
        <f t="shared" si="17"/>
        <v>10</v>
      </c>
      <c r="J116" s="22" t="s">
        <v>93</v>
      </c>
      <c r="K116" s="23">
        <f>B129/B130</f>
        <v>0</v>
      </c>
      <c r="P116" s="19"/>
    </row>
    <row r="117">
      <c r="A117" s="24" t="s">
        <v>79</v>
      </c>
      <c r="B117" s="13">
        <v>4.0</v>
      </c>
      <c r="C117" s="14"/>
      <c r="D117" s="28" t="s">
        <v>94</v>
      </c>
      <c r="E117" s="25">
        <f>E112/I112</f>
        <v>166666.6667</v>
      </c>
      <c r="J117" s="22" t="s">
        <v>95</v>
      </c>
      <c r="K117" s="23">
        <f>B131/B132</f>
        <v>0</v>
      </c>
      <c r="P117" s="19"/>
    </row>
    <row r="118">
      <c r="A118" s="24" t="s">
        <v>89</v>
      </c>
      <c r="B118" s="13">
        <v>10.0</v>
      </c>
      <c r="C118" s="14"/>
      <c r="D118" s="28" t="s">
        <v>96</v>
      </c>
      <c r="E118" s="25">
        <f>E116/I112</f>
        <v>36363.63636</v>
      </c>
      <c r="J118" s="29" t="s">
        <v>97</v>
      </c>
      <c r="K118" s="30">
        <f>SUM(K112:K117)</f>
        <v>0</v>
      </c>
      <c r="P118" s="19"/>
    </row>
    <row r="119">
      <c r="A119" s="12" t="s">
        <v>98</v>
      </c>
      <c r="B119" s="13">
        <v>6.0</v>
      </c>
      <c r="C119" s="14"/>
      <c r="D119" s="28" t="s">
        <v>99</v>
      </c>
      <c r="E119" s="31">
        <f>E118/12</f>
        <v>3030.30303</v>
      </c>
      <c r="I119" s="29"/>
      <c r="J119" s="29" t="s">
        <v>100</v>
      </c>
      <c r="K119" s="30">
        <f>H129</f>
        <v>0</v>
      </c>
      <c r="P119" s="19"/>
    </row>
    <row r="120">
      <c r="A120" s="32"/>
      <c r="B120" s="14"/>
      <c r="C120" s="14"/>
      <c r="D120" s="28" t="s">
        <v>101</v>
      </c>
      <c r="E120" s="25">
        <f>E119*5</f>
        <v>15151.51515</v>
      </c>
      <c r="J120" s="29" t="s">
        <v>102</v>
      </c>
      <c r="K120" s="30">
        <f>E121</f>
        <v>18181.81818</v>
      </c>
      <c r="P120" s="19"/>
    </row>
    <row r="121">
      <c r="A121" s="33" t="s">
        <v>103</v>
      </c>
      <c r="B121" s="34">
        <v>0.0</v>
      </c>
      <c r="C121" s="14"/>
      <c r="D121" s="28" t="s">
        <v>104</v>
      </c>
      <c r="E121" s="25">
        <f>E119*6</f>
        <v>18181.81818</v>
      </c>
      <c r="G121" s="35" t="s">
        <v>105</v>
      </c>
      <c r="H121" s="36">
        <f>H112+(25/60)</f>
        <v>4.583333333</v>
      </c>
      <c r="J121" s="29" t="s">
        <v>106</v>
      </c>
      <c r="K121" s="30">
        <f>E129</f>
        <v>20000</v>
      </c>
      <c r="P121" s="19"/>
    </row>
    <row r="122">
      <c r="A122" s="37" t="s">
        <v>107</v>
      </c>
      <c r="B122" s="38">
        <v>1.0</v>
      </c>
      <c r="C122" s="14"/>
      <c r="G122" s="35" t="s">
        <v>108</v>
      </c>
      <c r="H122" s="36">
        <f>I115+(25/60)</f>
        <v>0.4166666667</v>
      </c>
      <c r="I122" s="39" t="s">
        <v>109</v>
      </c>
      <c r="P122" s="19"/>
    </row>
    <row r="123">
      <c r="A123" s="40" t="s">
        <v>110</v>
      </c>
      <c r="B123" s="13">
        <v>0.0</v>
      </c>
      <c r="C123" s="14"/>
      <c r="D123" s="16" t="s">
        <v>111</v>
      </c>
      <c r="G123" s="16" t="s">
        <v>112</v>
      </c>
      <c r="H123" s="36"/>
      <c r="I123" s="39" t="s">
        <v>113</v>
      </c>
      <c r="P123" s="19"/>
    </row>
    <row r="124">
      <c r="A124" s="37" t="s">
        <v>114</v>
      </c>
      <c r="B124" s="38">
        <v>1.0</v>
      </c>
      <c r="C124" s="14"/>
      <c r="D124" s="28" t="s">
        <v>92</v>
      </c>
      <c r="E124" s="25">
        <f>E113/H115</f>
        <v>240000</v>
      </c>
      <c r="G124" s="28" t="s">
        <v>92</v>
      </c>
      <c r="H124" s="36">
        <f>E114/H122</f>
        <v>0</v>
      </c>
      <c r="I124" s="39" t="s">
        <v>115</v>
      </c>
      <c r="P124" s="19"/>
    </row>
    <row r="125">
      <c r="A125" s="40" t="s">
        <v>116</v>
      </c>
      <c r="B125" s="13">
        <v>0.0</v>
      </c>
      <c r="C125" s="14"/>
      <c r="D125" s="28" t="s">
        <v>94</v>
      </c>
      <c r="E125" s="25">
        <f>E113/I112</f>
        <v>166666.6667</v>
      </c>
      <c r="G125" s="28" t="s">
        <v>94</v>
      </c>
      <c r="H125" s="36">
        <f>E114/I112</f>
        <v>0</v>
      </c>
      <c r="I125" s="39" t="s">
        <v>117</v>
      </c>
      <c r="P125" s="19"/>
    </row>
    <row r="126">
      <c r="A126" s="37" t="s">
        <v>118</v>
      </c>
      <c r="B126" s="38">
        <v>1.0</v>
      </c>
      <c r="C126" s="14"/>
      <c r="D126" s="28" t="s">
        <v>96</v>
      </c>
      <c r="E126" s="25">
        <f>E125/H115</f>
        <v>40000</v>
      </c>
      <c r="G126" s="28" t="s">
        <v>96</v>
      </c>
      <c r="H126" s="36">
        <f>H125/H122</f>
        <v>0</v>
      </c>
      <c r="P126" s="19"/>
    </row>
    <row r="127">
      <c r="A127" s="40" t="s">
        <v>119</v>
      </c>
      <c r="B127" s="13">
        <v>0.0</v>
      </c>
      <c r="C127" s="14"/>
      <c r="D127" s="28" t="s">
        <v>99</v>
      </c>
      <c r="E127" s="25">
        <f>E126/12</f>
        <v>3333.333333</v>
      </c>
      <c r="G127" s="28" t="s">
        <v>99</v>
      </c>
      <c r="H127" s="36">
        <f>H126/12</f>
        <v>0</v>
      </c>
      <c r="P127" s="19"/>
    </row>
    <row r="128">
      <c r="A128" s="37" t="s">
        <v>120</v>
      </c>
      <c r="B128" s="38">
        <v>1.0</v>
      </c>
      <c r="C128" s="14"/>
      <c r="D128" s="28" t="s">
        <v>101</v>
      </c>
      <c r="E128" s="25">
        <f>E127*5</f>
        <v>16666.66667</v>
      </c>
      <c r="G128" s="28" t="s">
        <v>101</v>
      </c>
      <c r="H128" s="36">
        <f>H127*5</f>
        <v>0</v>
      </c>
      <c r="P128" s="19"/>
    </row>
    <row r="129">
      <c r="A129" s="40" t="s">
        <v>121</v>
      </c>
      <c r="B129" s="13">
        <v>0.0</v>
      </c>
      <c r="C129" s="14"/>
      <c r="D129" s="28" t="s">
        <v>104</v>
      </c>
      <c r="E129" s="25">
        <f>E127*6</f>
        <v>20000</v>
      </c>
      <c r="G129" s="28" t="s">
        <v>104</v>
      </c>
      <c r="H129" s="36">
        <f>H127*6</f>
        <v>0</v>
      </c>
      <c r="P129" s="19"/>
    </row>
    <row r="130">
      <c r="A130" s="37" t="s">
        <v>122</v>
      </c>
      <c r="B130" s="38">
        <v>1.0</v>
      </c>
      <c r="C130" s="14"/>
      <c r="P130" s="19"/>
    </row>
    <row r="131">
      <c r="A131" s="40" t="s">
        <v>123</v>
      </c>
      <c r="B131" s="13">
        <v>0.0</v>
      </c>
      <c r="C131" s="14"/>
      <c r="D131" s="28" t="s">
        <v>124</v>
      </c>
      <c r="E131" s="41"/>
      <c r="F131" s="41"/>
      <c r="P131" s="19"/>
    </row>
    <row r="132">
      <c r="A132" s="37" t="s">
        <v>125</v>
      </c>
      <c r="B132" s="38">
        <v>1.0</v>
      </c>
      <c r="C132" s="14"/>
      <c r="D132" s="4" t="s">
        <v>126</v>
      </c>
      <c r="E132" s="25">
        <f t="shared" ref="E132:E135" si="18">H126-E126</f>
        <v>-40000</v>
      </c>
      <c r="P132" s="19"/>
    </row>
    <row r="133">
      <c r="A133" s="42" t="s">
        <v>127</v>
      </c>
      <c r="C133" s="14"/>
      <c r="D133" s="4" t="s">
        <v>128</v>
      </c>
      <c r="E133" s="25">
        <f t="shared" si="18"/>
        <v>-3333.333333</v>
      </c>
      <c r="P133" s="19"/>
    </row>
    <row r="134">
      <c r="A134" s="32"/>
      <c r="C134" s="14"/>
      <c r="D134" s="4" t="s">
        <v>129</v>
      </c>
      <c r="E134" s="25">
        <f t="shared" si="18"/>
        <v>-16666.66667</v>
      </c>
      <c r="G134" s="43"/>
      <c r="P134" s="19"/>
    </row>
    <row r="135">
      <c r="A135" s="32"/>
      <c r="C135" s="14"/>
      <c r="D135" s="4" t="s">
        <v>130</v>
      </c>
      <c r="E135" s="25">
        <f t="shared" si="18"/>
        <v>-20000</v>
      </c>
      <c r="P135" s="19"/>
    </row>
    <row r="136">
      <c r="A136" s="24"/>
      <c r="C136" s="14"/>
      <c r="D136" s="28" t="s">
        <v>131</v>
      </c>
      <c r="P136" s="19"/>
    </row>
    <row r="137">
      <c r="A137" s="32"/>
      <c r="C137" s="14"/>
      <c r="D137" s="4" t="s">
        <v>132</v>
      </c>
      <c r="E137" s="25">
        <f t="shared" ref="E137:E140" si="19">H126-E118</f>
        <v>-36363.63636</v>
      </c>
      <c r="P137" s="19"/>
    </row>
    <row r="138">
      <c r="A138" s="32"/>
      <c r="C138" s="14"/>
      <c r="D138" s="4" t="s">
        <v>133</v>
      </c>
      <c r="E138" s="25">
        <f t="shared" si="19"/>
        <v>-3030.30303</v>
      </c>
      <c r="G138" s="28" t="s">
        <v>134</v>
      </c>
      <c r="I138" s="35" t="s">
        <v>135</v>
      </c>
      <c r="J138" s="35" t="s">
        <v>82</v>
      </c>
      <c r="P138" s="19"/>
    </row>
    <row r="139">
      <c r="A139" s="32"/>
      <c r="C139" s="14"/>
      <c r="D139" s="4" t="s">
        <v>136</v>
      </c>
      <c r="E139" s="25">
        <f t="shared" si="19"/>
        <v>-15151.51515</v>
      </c>
      <c r="G139" s="35" t="s">
        <v>137</v>
      </c>
      <c r="H139" s="25" t="str">
        <f>(E112/H124)-(25/60)</f>
        <v>#DIV/0!</v>
      </c>
      <c r="I139" s="25" t="str">
        <f t="shared" ref="I139:I140" si="20">INT(H139)</f>
        <v>#DIV/0!</v>
      </c>
      <c r="J139" s="36" t="str">
        <f t="shared" ref="J139:J140" si="21">INT((H139-I139)*60)</f>
        <v>#DIV/0!</v>
      </c>
      <c r="P139" s="19"/>
    </row>
    <row r="140">
      <c r="A140" s="44"/>
      <c r="B140" s="45"/>
      <c r="C140" s="46"/>
      <c r="D140" s="47" t="s">
        <v>138</v>
      </c>
      <c r="E140" s="45">
        <f t="shared" si="19"/>
        <v>-18181.81818</v>
      </c>
      <c r="F140" s="45"/>
      <c r="G140" s="48" t="s">
        <v>139</v>
      </c>
      <c r="H140" s="45" t="str">
        <f>H112-H139</f>
        <v>#DIV/0!</v>
      </c>
      <c r="I140" s="45" t="str">
        <f t="shared" si="20"/>
        <v>#DIV/0!</v>
      </c>
      <c r="J140" s="49" t="str">
        <f t="shared" si="21"/>
        <v>#DIV/0!</v>
      </c>
      <c r="K140" s="45"/>
      <c r="L140" s="45"/>
      <c r="M140" s="45"/>
      <c r="N140" s="45"/>
      <c r="O140" s="45"/>
      <c r="P140" s="50"/>
    </row>
    <row r="141">
      <c r="A141" s="51"/>
      <c r="B141" s="51"/>
      <c r="D141" s="51"/>
    </row>
    <row r="142">
      <c r="D142" s="51"/>
      <c r="I142" s="51"/>
    </row>
    <row r="143">
      <c r="D143" s="51"/>
      <c r="I143" s="51"/>
    </row>
    <row r="144">
      <c r="A144" s="51"/>
      <c r="D144" s="51"/>
      <c r="G144" s="51"/>
    </row>
    <row r="145">
      <c r="A145" s="51"/>
      <c r="G145" s="51"/>
    </row>
    <row r="146">
      <c r="A146" s="51"/>
      <c r="D146" s="51"/>
      <c r="G146" s="51"/>
    </row>
    <row r="147">
      <c r="A147" s="51"/>
      <c r="D147" s="51"/>
      <c r="G147" s="51"/>
    </row>
    <row r="148">
      <c r="A148" s="51"/>
      <c r="D148" s="51"/>
      <c r="G148" s="51"/>
    </row>
    <row r="149">
      <c r="A149" s="51"/>
      <c r="D149" s="51"/>
      <c r="G149" s="51"/>
    </row>
    <row r="150">
      <c r="A150" s="6" t="s">
        <v>70</v>
      </c>
      <c r="B150" s="52"/>
      <c r="C150" s="8"/>
      <c r="D150" s="9" t="s">
        <v>71</v>
      </c>
      <c r="E150" s="10"/>
      <c r="F150" s="10"/>
      <c r="G150" s="10"/>
      <c r="H150" s="10"/>
      <c r="I150" s="10"/>
      <c r="J150" s="10"/>
      <c r="K150" s="9"/>
      <c r="L150" s="10"/>
      <c r="M150" s="10"/>
      <c r="N150" s="10"/>
      <c r="O150" s="10"/>
      <c r="P150" s="11"/>
    </row>
    <row r="151">
      <c r="A151" s="12" t="s">
        <v>72</v>
      </c>
      <c r="B151" s="13">
        <v>1000000.0</v>
      </c>
      <c r="C151" s="14"/>
      <c r="D151" s="53" t="str">
        <f>B150</f>
        <v/>
      </c>
      <c r="E151" s="16" t="s">
        <v>73</v>
      </c>
      <c r="F151" s="17"/>
      <c r="G151" s="16" t="s">
        <v>74</v>
      </c>
      <c r="H151" s="16" t="s">
        <v>75</v>
      </c>
      <c r="I151" s="16" t="s">
        <v>76</v>
      </c>
      <c r="J151" s="18" t="s">
        <v>77</v>
      </c>
      <c r="P151" s="19"/>
    </row>
    <row r="152">
      <c r="A152" s="12" t="s">
        <v>78</v>
      </c>
      <c r="B152" s="13">
        <v>1000000.0</v>
      </c>
      <c r="C152" s="14"/>
      <c r="D152" s="20" t="s">
        <v>72</v>
      </c>
      <c r="E152" s="21">
        <f t="shared" ref="E152:E153" si="22">B151</f>
        <v>1000000</v>
      </c>
      <c r="F152" s="20" t="s">
        <v>79</v>
      </c>
      <c r="G152" s="21">
        <f t="shared" ref="G152:G153" si="23">B154</f>
        <v>4</v>
      </c>
      <c r="H152" s="4">
        <f>G152+(G153/60)</f>
        <v>4.166666667</v>
      </c>
      <c r="I152" s="21">
        <f>B159</f>
        <v>6</v>
      </c>
      <c r="J152" s="22" t="s">
        <v>80</v>
      </c>
      <c r="K152" s="23">
        <f>B161/B162</f>
        <v>0</v>
      </c>
      <c r="P152" s="19"/>
    </row>
    <row r="153">
      <c r="A153" s="12" t="s">
        <v>81</v>
      </c>
      <c r="B153" s="14"/>
      <c r="C153" s="14"/>
      <c r="D153" s="20" t="s">
        <v>78</v>
      </c>
      <c r="E153" s="21">
        <f t="shared" si="22"/>
        <v>1000000</v>
      </c>
      <c r="F153" s="20" t="s">
        <v>82</v>
      </c>
      <c r="G153" s="21">
        <f t="shared" si="23"/>
        <v>10</v>
      </c>
      <c r="J153" s="22" t="s">
        <v>83</v>
      </c>
      <c r="K153" s="23">
        <f>B163/B164</f>
        <v>0</v>
      </c>
      <c r="P153" s="19"/>
    </row>
    <row r="154">
      <c r="A154" s="24" t="s">
        <v>79</v>
      </c>
      <c r="B154" s="13">
        <v>4.0</v>
      </c>
      <c r="C154" s="14"/>
      <c r="D154" s="20" t="s">
        <v>84</v>
      </c>
      <c r="E154" s="25">
        <f>E152-E153</f>
        <v>0</v>
      </c>
      <c r="F154" s="26"/>
      <c r="G154" s="16" t="s">
        <v>85</v>
      </c>
      <c r="H154" s="16" t="s">
        <v>86</v>
      </c>
      <c r="I154" s="16" t="s">
        <v>87</v>
      </c>
      <c r="J154" s="22" t="s">
        <v>88</v>
      </c>
      <c r="K154" s="23">
        <f>B165/B166</f>
        <v>0</v>
      </c>
      <c r="P154" s="19"/>
    </row>
    <row r="155">
      <c r="A155" s="24" t="s">
        <v>89</v>
      </c>
      <c r="B155" s="13">
        <v>10.0</v>
      </c>
      <c r="C155" s="14"/>
      <c r="D155" s="16" t="s">
        <v>90</v>
      </c>
      <c r="F155" s="20" t="s">
        <v>79</v>
      </c>
      <c r="G155" s="21">
        <f t="shared" ref="G155:G156" si="24">B157</f>
        <v>4</v>
      </c>
      <c r="H155" s="25">
        <f>G155+(G156/60)</f>
        <v>4.166666667</v>
      </c>
      <c r="I155" s="25">
        <f>H152-H155</f>
        <v>0</v>
      </c>
      <c r="J155" s="22" t="s">
        <v>91</v>
      </c>
      <c r="K155" s="23">
        <f>B167/B168</f>
        <v>0</v>
      </c>
      <c r="P155" s="19"/>
    </row>
    <row r="156">
      <c r="A156" s="12" t="s">
        <v>85</v>
      </c>
      <c r="B156" s="27"/>
      <c r="C156" s="14"/>
      <c r="D156" s="28" t="s">
        <v>92</v>
      </c>
      <c r="E156" s="25">
        <f>E152/H161</f>
        <v>218181.8182</v>
      </c>
      <c r="F156" s="20" t="s">
        <v>82</v>
      </c>
      <c r="G156" s="21">
        <f t="shared" si="24"/>
        <v>10</v>
      </c>
      <c r="J156" s="22" t="s">
        <v>93</v>
      </c>
      <c r="K156" s="23">
        <f>B169/B170</f>
        <v>0</v>
      </c>
      <c r="P156" s="19"/>
    </row>
    <row r="157">
      <c r="A157" s="24" t="s">
        <v>79</v>
      </c>
      <c r="B157" s="13">
        <v>4.0</v>
      </c>
      <c r="C157" s="14"/>
      <c r="D157" s="28" t="s">
        <v>94</v>
      </c>
      <c r="E157" s="25">
        <f>E152/I152</f>
        <v>166666.6667</v>
      </c>
      <c r="J157" s="22" t="s">
        <v>95</v>
      </c>
      <c r="K157" s="23">
        <f>B171/B172</f>
        <v>0</v>
      </c>
      <c r="P157" s="19"/>
    </row>
    <row r="158">
      <c r="A158" s="24" t="s">
        <v>89</v>
      </c>
      <c r="B158" s="13">
        <v>10.0</v>
      </c>
      <c r="C158" s="14"/>
      <c r="D158" s="28" t="s">
        <v>96</v>
      </c>
      <c r="E158" s="25">
        <f>E156/I152</f>
        <v>36363.63636</v>
      </c>
      <c r="J158" s="29" t="s">
        <v>97</v>
      </c>
      <c r="K158" s="30">
        <f>SUM(K152:K157)</f>
        <v>0</v>
      </c>
      <c r="P158" s="19"/>
    </row>
    <row r="159">
      <c r="A159" s="12" t="s">
        <v>98</v>
      </c>
      <c r="B159" s="13">
        <v>6.0</v>
      </c>
      <c r="C159" s="14"/>
      <c r="D159" s="28" t="s">
        <v>99</v>
      </c>
      <c r="E159" s="31">
        <f>E158/12</f>
        <v>3030.30303</v>
      </c>
      <c r="I159" s="29"/>
      <c r="J159" s="29" t="s">
        <v>100</v>
      </c>
      <c r="K159" s="30">
        <f>H169</f>
        <v>0</v>
      </c>
      <c r="P159" s="19"/>
    </row>
    <row r="160">
      <c r="A160" s="32"/>
      <c r="B160" s="14"/>
      <c r="C160" s="14"/>
      <c r="D160" s="28" t="s">
        <v>101</v>
      </c>
      <c r="E160" s="25">
        <f>E159*5</f>
        <v>15151.51515</v>
      </c>
      <c r="J160" s="29" t="s">
        <v>102</v>
      </c>
      <c r="K160" s="30">
        <f>E161</f>
        <v>18181.81818</v>
      </c>
      <c r="P160" s="19"/>
    </row>
    <row r="161">
      <c r="A161" s="33" t="s">
        <v>103</v>
      </c>
      <c r="B161" s="34">
        <v>0.0</v>
      </c>
      <c r="C161" s="14"/>
      <c r="D161" s="28" t="s">
        <v>104</v>
      </c>
      <c r="E161" s="25">
        <f>E159*6</f>
        <v>18181.81818</v>
      </c>
      <c r="G161" s="35" t="s">
        <v>105</v>
      </c>
      <c r="H161" s="36">
        <f>H152+(25/60)</f>
        <v>4.583333333</v>
      </c>
      <c r="J161" s="29" t="s">
        <v>106</v>
      </c>
      <c r="K161" s="30">
        <f>E169</f>
        <v>20000</v>
      </c>
      <c r="P161" s="19"/>
    </row>
    <row r="162">
      <c r="A162" s="37" t="s">
        <v>107</v>
      </c>
      <c r="B162" s="38">
        <v>1.0</v>
      </c>
      <c r="C162" s="14"/>
      <c r="G162" s="35" t="s">
        <v>108</v>
      </c>
      <c r="H162" s="36">
        <f>I155+(25/60)</f>
        <v>0.4166666667</v>
      </c>
      <c r="I162" s="39" t="s">
        <v>109</v>
      </c>
      <c r="P162" s="19"/>
    </row>
    <row r="163">
      <c r="A163" s="40" t="s">
        <v>110</v>
      </c>
      <c r="B163" s="13">
        <v>0.0</v>
      </c>
      <c r="C163" s="14"/>
      <c r="D163" s="16" t="s">
        <v>111</v>
      </c>
      <c r="G163" s="16" t="s">
        <v>112</v>
      </c>
      <c r="H163" s="36"/>
      <c r="I163" s="39" t="s">
        <v>113</v>
      </c>
      <c r="P163" s="19"/>
    </row>
    <row r="164">
      <c r="A164" s="37" t="s">
        <v>114</v>
      </c>
      <c r="B164" s="38">
        <v>1.0</v>
      </c>
      <c r="C164" s="14"/>
      <c r="D164" s="28" t="s">
        <v>92</v>
      </c>
      <c r="E164" s="25">
        <f>E153/H155</f>
        <v>240000</v>
      </c>
      <c r="G164" s="28" t="s">
        <v>92</v>
      </c>
      <c r="H164" s="36">
        <f>E154/H162</f>
        <v>0</v>
      </c>
      <c r="I164" s="39" t="s">
        <v>115</v>
      </c>
      <c r="P164" s="19"/>
    </row>
    <row r="165">
      <c r="A165" s="40" t="s">
        <v>116</v>
      </c>
      <c r="B165" s="13">
        <v>0.0</v>
      </c>
      <c r="C165" s="14"/>
      <c r="D165" s="28" t="s">
        <v>94</v>
      </c>
      <c r="E165" s="25">
        <f>E153/I152</f>
        <v>166666.6667</v>
      </c>
      <c r="G165" s="28" t="s">
        <v>94</v>
      </c>
      <c r="H165" s="36">
        <f>E154/I152</f>
        <v>0</v>
      </c>
      <c r="I165" s="39" t="s">
        <v>117</v>
      </c>
      <c r="P165" s="19"/>
    </row>
    <row r="166">
      <c r="A166" s="37" t="s">
        <v>118</v>
      </c>
      <c r="B166" s="38">
        <v>1.0</v>
      </c>
      <c r="C166" s="14"/>
      <c r="D166" s="28" t="s">
        <v>96</v>
      </c>
      <c r="E166" s="25">
        <f>E165/H155</f>
        <v>40000</v>
      </c>
      <c r="G166" s="28" t="s">
        <v>96</v>
      </c>
      <c r="H166" s="36">
        <f>H165/H162</f>
        <v>0</v>
      </c>
      <c r="P166" s="19"/>
    </row>
    <row r="167">
      <c r="A167" s="40" t="s">
        <v>119</v>
      </c>
      <c r="B167" s="13">
        <v>0.0</v>
      </c>
      <c r="C167" s="14"/>
      <c r="D167" s="28" t="s">
        <v>99</v>
      </c>
      <c r="E167" s="25">
        <f>E166/12</f>
        <v>3333.333333</v>
      </c>
      <c r="G167" s="28" t="s">
        <v>99</v>
      </c>
      <c r="H167" s="36">
        <f>H166/12</f>
        <v>0</v>
      </c>
      <c r="P167" s="19"/>
    </row>
    <row r="168">
      <c r="A168" s="37" t="s">
        <v>120</v>
      </c>
      <c r="B168" s="38">
        <v>1.0</v>
      </c>
      <c r="C168" s="14"/>
      <c r="D168" s="28" t="s">
        <v>101</v>
      </c>
      <c r="E168" s="25">
        <f>E167*5</f>
        <v>16666.66667</v>
      </c>
      <c r="G168" s="28" t="s">
        <v>101</v>
      </c>
      <c r="H168" s="36">
        <f>H167*5</f>
        <v>0</v>
      </c>
      <c r="P168" s="19"/>
    </row>
    <row r="169">
      <c r="A169" s="40" t="s">
        <v>121</v>
      </c>
      <c r="B169" s="13">
        <v>0.0</v>
      </c>
      <c r="C169" s="14"/>
      <c r="D169" s="28" t="s">
        <v>104</v>
      </c>
      <c r="E169" s="25">
        <f>E167*6</f>
        <v>20000</v>
      </c>
      <c r="G169" s="28" t="s">
        <v>104</v>
      </c>
      <c r="H169" s="36">
        <f>H167*6</f>
        <v>0</v>
      </c>
      <c r="P169" s="19"/>
    </row>
    <row r="170">
      <c r="A170" s="37" t="s">
        <v>122</v>
      </c>
      <c r="B170" s="38">
        <v>1.0</v>
      </c>
      <c r="C170" s="14"/>
      <c r="P170" s="19"/>
    </row>
    <row r="171">
      <c r="A171" s="40" t="s">
        <v>123</v>
      </c>
      <c r="B171" s="13">
        <v>0.0</v>
      </c>
      <c r="C171" s="14"/>
      <c r="D171" s="28" t="s">
        <v>124</v>
      </c>
      <c r="E171" s="41"/>
      <c r="F171" s="41"/>
      <c r="P171" s="19"/>
    </row>
    <row r="172">
      <c r="A172" s="37" t="s">
        <v>125</v>
      </c>
      <c r="B172" s="38">
        <v>1.0</v>
      </c>
      <c r="C172" s="14"/>
      <c r="D172" s="4" t="s">
        <v>126</v>
      </c>
      <c r="E172" s="25">
        <f t="shared" ref="E172:E175" si="25">H166-E166</f>
        <v>-40000</v>
      </c>
      <c r="P172" s="19"/>
    </row>
    <row r="173">
      <c r="A173" s="42" t="s">
        <v>127</v>
      </c>
      <c r="C173" s="14"/>
      <c r="D173" s="4" t="s">
        <v>128</v>
      </c>
      <c r="E173" s="25">
        <f t="shared" si="25"/>
        <v>-3333.333333</v>
      </c>
      <c r="P173" s="19"/>
    </row>
    <row r="174">
      <c r="A174" s="32"/>
      <c r="C174" s="14"/>
      <c r="D174" s="4" t="s">
        <v>129</v>
      </c>
      <c r="E174" s="25">
        <f t="shared" si="25"/>
        <v>-16666.66667</v>
      </c>
      <c r="G174" s="43"/>
      <c r="P174" s="19"/>
    </row>
    <row r="175">
      <c r="A175" s="32"/>
      <c r="C175" s="14"/>
      <c r="D175" s="4" t="s">
        <v>130</v>
      </c>
      <c r="E175" s="25">
        <f t="shared" si="25"/>
        <v>-20000</v>
      </c>
      <c r="P175" s="19"/>
    </row>
    <row r="176">
      <c r="A176" s="24"/>
      <c r="C176" s="14"/>
      <c r="D176" s="28" t="s">
        <v>131</v>
      </c>
      <c r="P176" s="19"/>
    </row>
    <row r="177">
      <c r="A177" s="32"/>
      <c r="C177" s="14"/>
      <c r="D177" s="4" t="s">
        <v>132</v>
      </c>
      <c r="E177" s="25">
        <f t="shared" ref="E177:E180" si="26">H166-E158</f>
        <v>-36363.63636</v>
      </c>
      <c r="P177" s="19"/>
    </row>
    <row r="178">
      <c r="A178" s="32"/>
      <c r="C178" s="14"/>
      <c r="D178" s="4" t="s">
        <v>133</v>
      </c>
      <c r="E178" s="25">
        <f t="shared" si="26"/>
        <v>-3030.30303</v>
      </c>
      <c r="G178" s="28" t="s">
        <v>134</v>
      </c>
      <c r="I178" s="35" t="s">
        <v>135</v>
      </c>
      <c r="J178" s="35" t="s">
        <v>82</v>
      </c>
      <c r="P178" s="19"/>
    </row>
    <row r="179">
      <c r="A179" s="32"/>
      <c r="C179" s="14"/>
      <c r="D179" s="4" t="s">
        <v>136</v>
      </c>
      <c r="E179" s="25">
        <f t="shared" si="26"/>
        <v>-15151.51515</v>
      </c>
      <c r="G179" s="35" t="s">
        <v>137</v>
      </c>
      <c r="H179" s="25" t="str">
        <f>(E152/H164)-(25/60)</f>
        <v>#DIV/0!</v>
      </c>
      <c r="I179" s="25" t="str">
        <f t="shared" ref="I179:I180" si="27">INT(H179)</f>
        <v>#DIV/0!</v>
      </c>
      <c r="J179" s="36" t="str">
        <f t="shared" ref="J179:J180" si="28">INT((H179-I179)*60)</f>
        <v>#DIV/0!</v>
      </c>
      <c r="P179" s="19"/>
    </row>
    <row r="180">
      <c r="A180" s="44"/>
      <c r="B180" s="45"/>
      <c r="C180" s="46"/>
      <c r="D180" s="47" t="s">
        <v>138</v>
      </c>
      <c r="E180" s="45">
        <f t="shared" si="26"/>
        <v>-18181.81818</v>
      </c>
      <c r="F180" s="45"/>
      <c r="G180" s="48" t="s">
        <v>139</v>
      </c>
      <c r="H180" s="45" t="str">
        <f>H152-H179</f>
        <v>#DIV/0!</v>
      </c>
      <c r="I180" s="45" t="str">
        <f t="shared" si="27"/>
        <v>#DIV/0!</v>
      </c>
      <c r="J180" s="49" t="str">
        <f t="shared" si="28"/>
        <v>#DIV/0!</v>
      </c>
      <c r="K180" s="45"/>
      <c r="L180" s="45"/>
      <c r="M180" s="45"/>
      <c r="N180" s="45"/>
      <c r="O180" s="45"/>
      <c r="P180" s="50"/>
    </row>
    <row r="181">
      <c r="A181" s="51"/>
      <c r="B181" s="51"/>
      <c r="D181" s="51"/>
    </row>
    <row r="182">
      <c r="D182" s="51"/>
      <c r="I182" s="51"/>
    </row>
    <row r="183">
      <c r="D183" s="51"/>
      <c r="I183" s="51"/>
    </row>
    <row r="184">
      <c r="D184" s="51"/>
      <c r="G184" s="51"/>
    </row>
    <row r="185">
      <c r="G185" s="51"/>
    </row>
    <row r="186">
      <c r="D186" s="51"/>
      <c r="G186" s="51"/>
    </row>
    <row r="187">
      <c r="D187" s="51"/>
      <c r="G187" s="51"/>
    </row>
    <row r="188">
      <c r="D188" s="51"/>
      <c r="G188" s="51"/>
    </row>
    <row r="189">
      <c r="D189" s="51"/>
      <c r="G189" s="51"/>
    </row>
    <row r="190">
      <c r="A190" s="6" t="s">
        <v>70</v>
      </c>
      <c r="B190" s="52"/>
      <c r="C190" s="8"/>
      <c r="D190" s="9" t="s">
        <v>71</v>
      </c>
      <c r="E190" s="10"/>
      <c r="F190" s="10"/>
      <c r="G190" s="10"/>
      <c r="H190" s="10"/>
      <c r="I190" s="10"/>
      <c r="J190" s="10"/>
      <c r="K190" s="9"/>
      <c r="L190" s="10"/>
      <c r="M190" s="10"/>
      <c r="N190" s="10"/>
      <c r="O190" s="10"/>
      <c r="P190" s="11"/>
    </row>
    <row r="191">
      <c r="A191" s="12" t="s">
        <v>72</v>
      </c>
      <c r="B191" s="13">
        <v>1000000.0</v>
      </c>
      <c r="C191" s="14"/>
      <c r="D191" s="53" t="str">
        <f>B190</f>
        <v/>
      </c>
      <c r="E191" s="16" t="s">
        <v>73</v>
      </c>
      <c r="F191" s="17"/>
      <c r="G191" s="16" t="s">
        <v>74</v>
      </c>
      <c r="H191" s="16" t="s">
        <v>75</v>
      </c>
      <c r="I191" s="16" t="s">
        <v>76</v>
      </c>
      <c r="J191" s="18" t="s">
        <v>77</v>
      </c>
      <c r="P191" s="19"/>
    </row>
    <row r="192">
      <c r="A192" s="12" t="s">
        <v>78</v>
      </c>
      <c r="B192" s="13">
        <v>1000000.0</v>
      </c>
      <c r="C192" s="14"/>
      <c r="D192" s="20" t="s">
        <v>72</v>
      </c>
      <c r="E192" s="21">
        <f t="shared" ref="E192:E193" si="29">B191</f>
        <v>1000000</v>
      </c>
      <c r="F192" s="20" t="s">
        <v>79</v>
      </c>
      <c r="G192" s="21">
        <f t="shared" ref="G192:G193" si="30">B194</f>
        <v>4</v>
      </c>
      <c r="H192" s="4">
        <f>G192+(G193/60)</f>
        <v>4.166666667</v>
      </c>
      <c r="I192" s="21">
        <f>B199</f>
        <v>6</v>
      </c>
      <c r="J192" s="22" t="s">
        <v>80</v>
      </c>
      <c r="K192" s="23">
        <f>B201/B202</f>
        <v>0</v>
      </c>
      <c r="P192" s="19"/>
    </row>
    <row r="193">
      <c r="A193" s="12" t="s">
        <v>81</v>
      </c>
      <c r="B193" s="14"/>
      <c r="C193" s="14"/>
      <c r="D193" s="20" t="s">
        <v>78</v>
      </c>
      <c r="E193" s="21">
        <f t="shared" si="29"/>
        <v>1000000</v>
      </c>
      <c r="F193" s="20" t="s">
        <v>82</v>
      </c>
      <c r="G193" s="21">
        <f t="shared" si="30"/>
        <v>10</v>
      </c>
      <c r="J193" s="22" t="s">
        <v>83</v>
      </c>
      <c r="K193" s="23">
        <f>B203/B204</f>
        <v>0</v>
      </c>
      <c r="P193" s="19"/>
    </row>
    <row r="194">
      <c r="A194" s="24" t="s">
        <v>79</v>
      </c>
      <c r="B194" s="13">
        <v>4.0</v>
      </c>
      <c r="C194" s="14"/>
      <c r="D194" s="20" t="s">
        <v>84</v>
      </c>
      <c r="E194" s="25">
        <f>E192-E193</f>
        <v>0</v>
      </c>
      <c r="F194" s="26"/>
      <c r="G194" s="16" t="s">
        <v>85</v>
      </c>
      <c r="H194" s="16" t="s">
        <v>86</v>
      </c>
      <c r="I194" s="16" t="s">
        <v>87</v>
      </c>
      <c r="J194" s="22" t="s">
        <v>88</v>
      </c>
      <c r="K194" s="23">
        <f>B205/B206</f>
        <v>0</v>
      </c>
      <c r="P194" s="19"/>
    </row>
    <row r="195">
      <c r="A195" s="24" t="s">
        <v>89</v>
      </c>
      <c r="B195" s="13">
        <v>10.0</v>
      </c>
      <c r="C195" s="14"/>
      <c r="D195" s="16" t="s">
        <v>90</v>
      </c>
      <c r="F195" s="20" t="s">
        <v>79</v>
      </c>
      <c r="G195" s="21">
        <f t="shared" ref="G195:G196" si="31">B197</f>
        <v>4</v>
      </c>
      <c r="H195" s="25">
        <f>G195+(G196/60)</f>
        <v>4.166666667</v>
      </c>
      <c r="I195" s="25">
        <f>H192-H195</f>
        <v>0</v>
      </c>
      <c r="J195" s="22" t="s">
        <v>91</v>
      </c>
      <c r="K195" s="23">
        <f>B207/B208</f>
        <v>0</v>
      </c>
      <c r="P195" s="19"/>
    </row>
    <row r="196">
      <c r="A196" s="12" t="s">
        <v>85</v>
      </c>
      <c r="B196" s="27"/>
      <c r="C196" s="14"/>
      <c r="D196" s="28" t="s">
        <v>92</v>
      </c>
      <c r="E196" s="25">
        <f>E192/H201</f>
        <v>218181.8182</v>
      </c>
      <c r="F196" s="20" t="s">
        <v>82</v>
      </c>
      <c r="G196" s="21">
        <f t="shared" si="31"/>
        <v>10</v>
      </c>
      <c r="J196" s="22" t="s">
        <v>93</v>
      </c>
      <c r="K196" s="23">
        <f>B209/B210</f>
        <v>0</v>
      </c>
      <c r="P196" s="19"/>
    </row>
    <row r="197">
      <c r="A197" s="24" t="s">
        <v>79</v>
      </c>
      <c r="B197" s="13">
        <v>4.0</v>
      </c>
      <c r="C197" s="14"/>
      <c r="D197" s="28" t="s">
        <v>94</v>
      </c>
      <c r="E197" s="25">
        <f>E192/I192</f>
        <v>166666.6667</v>
      </c>
      <c r="J197" s="22" t="s">
        <v>95</v>
      </c>
      <c r="K197" s="23">
        <f>B211/B212</f>
        <v>0</v>
      </c>
      <c r="P197" s="19"/>
    </row>
    <row r="198">
      <c r="A198" s="24" t="s">
        <v>89</v>
      </c>
      <c r="B198" s="13">
        <v>10.0</v>
      </c>
      <c r="C198" s="14"/>
      <c r="D198" s="28" t="s">
        <v>96</v>
      </c>
      <c r="E198" s="25">
        <f>E196/I192</f>
        <v>36363.63636</v>
      </c>
      <c r="J198" s="29" t="s">
        <v>97</v>
      </c>
      <c r="K198" s="30">
        <f>SUM(K192:K197)</f>
        <v>0</v>
      </c>
      <c r="P198" s="19"/>
    </row>
    <row r="199">
      <c r="A199" s="12" t="s">
        <v>98</v>
      </c>
      <c r="B199" s="13">
        <v>6.0</v>
      </c>
      <c r="C199" s="14"/>
      <c r="D199" s="28" t="s">
        <v>99</v>
      </c>
      <c r="E199" s="31">
        <f>E198/12</f>
        <v>3030.30303</v>
      </c>
      <c r="I199" s="29"/>
      <c r="J199" s="29" t="s">
        <v>100</v>
      </c>
      <c r="K199" s="30">
        <f>H209</f>
        <v>0</v>
      </c>
      <c r="P199" s="19"/>
    </row>
    <row r="200">
      <c r="A200" s="32"/>
      <c r="B200" s="14"/>
      <c r="C200" s="14"/>
      <c r="D200" s="28" t="s">
        <v>101</v>
      </c>
      <c r="E200" s="25">
        <f>E199*5</f>
        <v>15151.51515</v>
      </c>
      <c r="J200" s="29" t="s">
        <v>102</v>
      </c>
      <c r="K200" s="30">
        <f>E201</f>
        <v>18181.81818</v>
      </c>
      <c r="P200" s="19"/>
    </row>
    <row r="201">
      <c r="A201" s="33" t="s">
        <v>103</v>
      </c>
      <c r="B201" s="34">
        <v>0.0</v>
      </c>
      <c r="C201" s="14"/>
      <c r="D201" s="28" t="s">
        <v>104</v>
      </c>
      <c r="E201" s="25">
        <f>E199*6</f>
        <v>18181.81818</v>
      </c>
      <c r="G201" s="35" t="s">
        <v>105</v>
      </c>
      <c r="H201" s="36">
        <f>H192+(25/60)</f>
        <v>4.583333333</v>
      </c>
      <c r="J201" s="29" t="s">
        <v>106</v>
      </c>
      <c r="K201" s="30">
        <f>E209</f>
        <v>20000</v>
      </c>
      <c r="P201" s="19"/>
    </row>
    <row r="202">
      <c r="A202" s="37" t="s">
        <v>107</v>
      </c>
      <c r="B202" s="38">
        <v>1.0</v>
      </c>
      <c r="C202" s="14"/>
      <c r="G202" s="35" t="s">
        <v>108</v>
      </c>
      <c r="H202" s="36">
        <f>I195+(25/60)</f>
        <v>0.4166666667</v>
      </c>
      <c r="I202" s="39" t="s">
        <v>109</v>
      </c>
      <c r="P202" s="19"/>
    </row>
    <row r="203">
      <c r="A203" s="40" t="s">
        <v>110</v>
      </c>
      <c r="B203" s="13">
        <v>0.0</v>
      </c>
      <c r="C203" s="14"/>
      <c r="D203" s="16" t="s">
        <v>111</v>
      </c>
      <c r="G203" s="16" t="s">
        <v>112</v>
      </c>
      <c r="H203" s="36"/>
      <c r="I203" s="39" t="s">
        <v>113</v>
      </c>
      <c r="P203" s="19"/>
    </row>
    <row r="204">
      <c r="A204" s="37" t="s">
        <v>114</v>
      </c>
      <c r="B204" s="38">
        <v>1.0</v>
      </c>
      <c r="C204" s="14"/>
      <c r="D204" s="28" t="s">
        <v>92</v>
      </c>
      <c r="E204" s="25">
        <f>E193/H195</f>
        <v>240000</v>
      </c>
      <c r="G204" s="28" t="s">
        <v>92</v>
      </c>
      <c r="H204" s="36">
        <f>E194/H202</f>
        <v>0</v>
      </c>
      <c r="I204" s="39" t="s">
        <v>115</v>
      </c>
      <c r="P204" s="19"/>
    </row>
    <row r="205">
      <c r="A205" s="40" t="s">
        <v>116</v>
      </c>
      <c r="B205" s="13">
        <v>0.0</v>
      </c>
      <c r="C205" s="14"/>
      <c r="D205" s="28" t="s">
        <v>94</v>
      </c>
      <c r="E205" s="25">
        <f>E193/I192</f>
        <v>166666.6667</v>
      </c>
      <c r="G205" s="28" t="s">
        <v>94</v>
      </c>
      <c r="H205" s="36">
        <f>E194/I192</f>
        <v>0</v>
      </c>
      <c r="I205" s="39" t="s">
        <v>117</v>
      </c>
      <c r="P205" s="19"/>
    </row>
    <row r="206">
      <c r="A206" s="37" t="s">
        <v>118</v>
      </c>
      <c r="B206" s="38">
        <v>1.0</v>
      </c>
      <c r="C206" s="14"/>
      <c r="D206" s="28" t="s">
        <v>96</v>
      </c>
      <c r="E206" s="25">
        <f>E205/H195</f>
        <v>40000</v>
      </c>
      <c r="G206" s="28" t="s">
        <v>96</v>
      </c>
      <c r="H206" s="36">
        <f>H205/H202</f>
        <v>0</v>
      </c>
      <c r="P206" s="19"/>
    </row>
    <row r="207">
      <c r="A207" s="40" t="s">
        <v>119</v>
      </c>
      <c r="B207" s="13">
        <v>0.0</v>
      </c>
      <c r="C207" s="14"/>
      <c r="D207" s="28" t="s">
        <v>99</v>
      </c>
      <c r="E207" s="25">
        <f>E206/12</f>
        <v>3333.333333</v>
      </c>
      <c r="G207" s="28" t="s">
        <v>99</v>
      </c>
      <c r="H207" s="36">
        <f>H206/12</f>
        <v>0</v>
      </c>
      <c r="P207" s="19"/>
    </row>
    <row r="208">
      <c r="A208" s="37" t="s">
        <v>120</v>
      </c>
      <c r="B208" s="38">
        <v>1.0</v>
      </c>
      <c r="C208" s="14"/>
      <c r="D208" s="28" t="s">
        <v>101</v>
      </c>
      <c r="E208" s="25">
        <f>E207*5</f>
        <v>16666.66667</v>
      </c>
      <c r="G208" s="28" t="s">
        <v>101</v>
      </c>
      <c r="H208" s="36">
        <f>H207*5</f>
        <v>0</v>
      </c>
      <c r="P208" s="19"/>
    </row>
    <row r="209">
      <c r="A209" s="40" t="s">
        <v>121</v>
      </c>
      <c r="B209" s="13">
        <v>0.0</v>
      </c>
      <c r="C209" s="14"/>
      <c r="D209" s="28" t="s">
        <v>104</v>
      </c>
      <c r="E209" s="25">
        <f>E207*6</f>
        <v>20000</v>
      </c>
      <c r="G209" s="28" t="s">
        <v>104</v>
      </c>
      <c r="H209" s="36">
        <f>H207*6</f>
        <v>0</v>
      </c>
      <c r="P209" s="19"/>
    </row>
    <row r="210">
      <c r="A210" s="37" t="s">
        <v>122</v>
      </c>
      <c r="B210" s="38">
        <v>1.0</v>
      </c>
      <c r="C210" s="14"/>
      <c r="P210" s="19"/>
    </row>
    <row r="211">
      <c r="A211" s="40" t="s">
        <v>123</v>
      </c>
      <c r="B211" s="13">
        <v>0.0</v>
      </c>
      <c r="C211" s="14"/>
      <c r="D211" s="28" t="s">
        <v>124</v>
      </c>
      <c r="E211" s="41"/>
      <c r="F211" s="41"/>
      <c r="P211" s="19"/>
    </row>
    <row r="212">
      <c r="A212" s="37" t="s">
        <v>125</v>
      </c>
      <c r="B212" s="38">
        <v>1.0</v>
      </c>
      <c r="C212" s="14"/>
      <c r="D212" s="4" t="s">
        <v>126</v>
      </c>
      <c r="E212" s="25">
        <f t="shared" ref="E212:E215" si="32">H206-E206</f>
        <v>-40000</v>
      </c>
      <c r="P212" s="19"/>
    </row>
    <row r="213">
      <c r="A213" s="42" t="s">
        <v>127</v>
      </c>
      <c r="C213" s="14"/>
      <c r="D213" s="4" t="s">
        <v>128</v>
      </c>
      <c r="E213" s="25">
        <f t="shared" si="32"/>
        <v>-3333.333333</v>
      </c>
      <c r="P213" s="19"/>
    </row>
    <row r="214">
      <c r="A214" s="32"/>
      <c r="C214" s="14"/>
      <c r="D214" s="4" t="s">
        <v>129</v>
      </c>
      <c r="E214" s="25">
        <f t="shared" si="32"/>
        <v>-16666.66667</v>
      </c>
      <c r="G214" s="43"/>
      <c r="P214" s="19"/>
    </row>
    <row r="215">
      <c r="A215" s="32"/>
      <c r="C215" s="14"/>
      <c r="D215" s="4" t="s">
        <v>130</v>
      </c>
      <c r="E215" s="25">
        <f t="shared" si="32"/>
        <v>-20000</v>
      </c>
      <c r="P215" s="19"/>
    </row>
    <row r="216">
      <c r="A216" s="24"/>
      <c r="C216" s="14"/>
      <c r="D216" s="28" t="s">
        <v>131</v>
      </c>
      <c r="P216" s="19"/>
    </row>
    <row r="217">
      <c r="A217" s="32"/>
      <c r="C217" s="14"/>
      <c r="D217" s="4" t="s">
        <v>132</v>
      </c>
      <c r="E217" s="25">
        <f t="shared" ref="E217:E220" si="33">H206-E198</f>
        <v>-36363.63636</v>
      </c>
      <c r="P217" s="19"/>
    </row>
    <row r="218">
      <c r="A218" s="32"/>
      <c r="C218" s="14"/>
      <c r="D218" s="4" t="s">
        <v>133</v>
      </c>
      <c r="E218" s="25">
        <f t="shared" si="33"/>
        <v>-3030.30303</v>
      </c>
      <c r="G218" s="28" t="s">
        <v>134</v>
      </c>
      <c r="I218" s="35" t="s">
        <v>135</v>
      </c>
      <c r="J218" s="35" t="s">
        <v>82</v>
      </c>
      <c r="P218" s="19"/>
    </row>
    <row r="219">
      <c r="A219" s="32"/>
      <c r="C219" s="14"/>
      <c r="D219" s="4" t="s">
        <v>136</v>
      </c>
      <c r="E219" s="25">
        <f t="shared" si="33"/>
        <v>-15151.51515</v>
      </c>
      <c r="G219" s="35" t="s">
        <v>137</v>
      </c>
      <c r="H219" s="25" t="str">
        <f>(E192/H204)-(25/60)</f>
        <v>#DIV/0!</v>
      </c>
      <c r="I219" s="25" t="str">
        <f t="shared" ref="I219:I220" si="34">INT(H219)</f>
        <v>#DIV/0!</v>
      </c>
      <c r="J219" s="36" t="str">
        <f t="shared" ref="J219:J220" si="35">INT((H219-I219)*60)</f>
        <v>#DIV/0!</v>
      </c>
      <c r="P219" s="19"/>
    </row>
    <row r="220">
      <c r="A220" s="44"/>
      <c r="B220" s="45"/>
      <c r="C220" s="46"/>
      <c r="D220" s="47" t="s">
        <v>138</v>
      </c>
      <c r="E220" s="45">
        <f t="shared" si="33"/>
        <v>-18181.81818</v>
      </c>
      <c r="F220" s="45"/>
      <c r="G220" s="48" t="s">
        <v>139</v>
      </c>
      <c r="H220" s="45" t="str">
        <f>H192-H219</f>
        <v>#DIV/0!</v>
      </c>
      <c r="I220" s="45" t="str">
        <f t="shared" si="34"/>
        <v>#DIV/0!</v>
      </c>
      <c r="J220" s="49" t="str">
        <f t="shared" si="35"/>
        <v>#DIV/0!</v>
      </c>
      <c r="K220" s="45"/>
      <c r="L220" s="45"/>
      <c r="M220" s="45"/>
      <c r="N220" s="45"/>
      <c r="O220" s="45"/>
      <c r="P220" s="50"/>
    </row>
    <row r="221">
      <c r="A221" s="51"/>
      <c r="B221" s="51"/>
      <c r="D221" s="51"/>
    </row>
    <row r="222">
      <c r="D222" s="51"/>
      <c r="I222" s="51"/>
    </row>
    <row r="223">
      <c r="D223" s="51"/>
      <c r="I223" s="51"/>
    </row>
    <row r="224">
      <c r="A224" s="51"/>
      <c r="D224" s="51"/>
      <c r="G224" s="51"/>
    </row>
    <row r="225">
      <c r="A225" s="51"/>
      <c r="G225" s="51"/>
    </row>
    <row r="226">
      <c r="A226" s="51"/>
      <c r="D226" s="51"/>
      <c r="G226" s="51"/>
    </row>
    <row r="227">
      <c r="A227" s="51"/>
      <c r="D227" s="51"/>
      <c r="G227" s="51"/>
    </row>
    <row r="228">
      <c r="A228" s="51"/>
      <c r="D228" s="51"/>
      <c r="G228" s="51"/>
    </row>
    <row r="229">
      <c r="A229" s="51"/>
      <c r="D229" s="51"/>
      <c r="G229" s="51"/>
    </row>
    <row r="230">
      <c r="A230" s="6" t="s">
        <v>70</v>
      </c>
      <c r="B230" s="52"/>
      <c r="C230" s="8"/>
      <c r="D230" s="9" t="s">
        <v>71</v>
      </c>
      <c r="E230" s="10"/>
      <c r="F230" s="10"/>
      <c r="G230" s="10"/>
      <c r="H230" s="10"/>
      <c r="I230" s="10"/>
      <c r="J230" s="10"/>
      <c r="K230" s="9"/>
      <c r="L230" s="10"/>
      <c r="M230" s="10"/>
      <c r="N230" s="10"/>
      <c r="O230" s="10"/>
      <c r="P230" s="11"/>
    </row>
    <row r="231">
      <c r="A231" s="12" t="s">
        <v>72</v>
      </c>
      <c r="B231" s="13">
        <v>1000000.0</v>
      </c>
      <c r="C231" s="14"/>
      <c r="D231" s="53" t="str">
        <f>B230</f>
        <v/>
      </c>
      <c r="E231" s="16" t="s">
        <v>73</v>
      </c>
      <c r="F231" s="17"/>
      <c r="G231" s="16" t="s">
        <v>74</v>
      </c>
      <c r="H231" s="16" t="s">
        <v>75</v>
      </c>
      <c r="I231" s="16" t="s">
        <v>76</v>
      </c>
      <c r="J231" s="18" t="s">
        <v>77</v>
      </c>
      <c r="P231" s="19"/>
    </row>
    <row r="232">
      <c r="A232" s="12" t="s">
        <v>78</v>
      </c>
      <c r="B232" s="13">
        <v>1000000.0</v>
      </c>
      <c r="C232" s="14"/>
      <c r="D232" s="20" t="s">
        <v>72</v>
      </c>
      <c r="E232" s="21">
        <f t="shared" ref="E232:E233" si="36">B231</f>
        <v>1000000</v>
      </c>
      <c r="F232" s="20" t="s">
        <v>79</v>
      </c>
      <c r="G232" s="21">
        <f t="shared" ref="G232:G233" si="37">B234</f>
        <v>4</v>
      </c>
      <c r="H232" s="4">
        <f>G232+(G233/60)</f>
        <v>4.166666667</v>
      </c>
      <c r="I232" s="21">
        <f>B239</f>
        <v>6</v>
      </c>
      <c r="J232" s="22" t="s">
        <v>80</v>
      </c>
      <c r="K232" s="23">
        <f>B241/B242</f>
        <v>0</v>
      </c>
      <c r="P232" s="19"/>
    </row>
    <row r="233">
      <c r="A233" s="12" t="s">
        <v>81</v>
      </c>
      <c r="B233" s="14"/>
      <c r="C233" s="14"/>
      <c r="D233" s="20" t="s">
        <v>78</v>
      </c>
      <c r="E233" s="21">
        <f t="shared" si="36"/>
        <v>1000000</v>
      </c>
      <c r="F233" s="20" t="s">
        <v>82</v>
      </c>
      <c r="G233" s="21">
        <f t="shared" si="37"/>
        <v>10</v>
      </c>
      <c r="J233" s="22" t="s">
        <v>83</v>
      </c>
      <c r="K233" s="23">
        <f>B243/B244</f>
        <v>0</v>
      </c>
      <c r="P233" s="19"/>
    </row>
    <row r="234">
      <c r="A234" s="24" t="s">
        <v>79</v>
      </c>
      <c r="B234" s="13">
        <v>4.0</v>
      </c>
      <c r="C234" s="14"/>
      <c r="D234" s="20" t="s">
        <v>84</v>
      </c>
      <c r="E234" s="25">
        <f>E232-E233</f>
        <v>0</v>
      </c>
      <c r="F234" s="26"/>
      <c r="G234" s="16" t="s">
        <v>85</v>
      </c>
      <c r="H234" s="16" t="s">
        <v>86</v>
      </c>
      <c r="I234" s="16" t="s">
        <v>87</v>
      </c>
      <c r="J234" s="22" t="s">
        <v>88</v>
      </c>
      <c r="K234" s="23">
        <f>B245/B246</f>
        <v>0</v>
      </c>
      <c r="P234" s="19"/>
    </row>
    <row r="235">
      <c r="A235" s="24" t="s">
        <v>89</v>
      </c>
      <c r="B235" s="13">
        <v>10.0</v>
      </c>
      <c r="C235" s="14"/>
      <c r="D235" s="16" t="s">
        <v>90</v>
      </c>
      <c r="F235" s="20" t="s">
        <v>79</v>
      </c>
      <c r="G235" s="21">
        <f t="shared" ref="G235:G236" si="38">B237</f>
        <v>4</v>
      </c>
      <c r="H235" s="25">
        <f>G235+(G236/60)</f>
        <v>4.166666667</v>
      </c>
      <c r="I235" s="25">
        <f>H232-H235</f>
        <v>0</v>
      </c>
      <c r="J235" s="22" t="s">
        <v>91</v>
      </c>
      <c r="K235" s="23">
        <f>B247/B248</f>
        <v>0</v>
      </c>
      <c r="P235" s="19"/>
    </row>
    <row r="236">
      <c r="A236" s="12" t="s">
        <v>85</v>
      </c>
      <c r="B236" s="27"/>
      <c r="C236" s="14"/>
      <c r="D236" s="28" t="s">
        <v>92</v>
      </c>
      <c r="E236" s="25">
        <f>E232/H241</f>
        <v>218181.8182</v>
      </c>
      <c r="F236" s="20" t="s">
        <v>82</v>
      </c>
      <c r="G236" s="21">
        <f t="shared" si="38"/>
        <v>10</v>
      </c>
      <c r="J236" s="22" t="s">
        <v>93</v>
      </c>
      <c r="K236" s="23">
        <f>B249/B250</f>
        <v>0</v>
      </c>
      <c r="P236" s="19"/>
    </row>
    <row r="237">
      <c r="A237" s="24" t="s">
        <v>79</v>
      </c>
      <c r="B237" s="13">
        <v>4.0</v>
      </c>
      <c r="C237" s="14"/>
      <c r="D237" s="28" t="s">
        <v>94</v>
      </c>
      <c r="E237" s="25">
        <f>E232/I232</f>
        <v>166666.6667</v>
      </c>
      <c r="J237" s="22" t="s">
        <v>95</v>
      </c>
      <c r="K237" s="23">
        <f>B251/B252</f>
        <v>0</v>
      </c>
      <c r="P237" s="19"/>
    </row>
    <row r="238">
      <c r="A238" s="24" t="s">
        <v>89</v>
      </c>
      <c r="B238" s="13">
        <v>10.0</v>
      </c>
      <c r="C238" s="14"/>
      <c r="D238" s="28" t="s">
        <v>96</v>
      </c>
      <c r="E238" s="25">
        <f>E236/I232</f>
        <v>36363.63636</v>
      </c>
      <c r="J238" s="29" t="s">
        <v>97</v>
      </c>
      <c r="K238" s="30">
        <f>SUM(K232:K237)</f>
        <v>0</v>
      </c>
      <c r="P238" s="19"/>
    </row>
    <row r="239">
      <c r="A239" s="12" t="s">
        <v>98</v>
      </c>
      <c r="B239" s="13">
        <v>6.0</v>
      </c>
      <c r="C239" s="14"/>
      <c r="D239" s="28" t="s">
        <v>99</v>
      </c>
      <c r="E239" s="31">
        <f>E238/12</f>
        <v>3030.30303</v>
      </c>
      <c r="I239" s="29"/>
      <c r="J239" s="29" t="s">
        <v>100</v>
      </c>
      <c r="K239" s="30">
        <f>H249</f>
        <v>0</v>
      </c>
      <c r="P239" s="19"/>
    </row>
    <row r="240">
      <c r="A240" s="32"/>
      <c r="B240" s="14"/>
      <c r="C240" s="14"/>
      <c r="D240" s="28" t="s">
        <v>101</v>
      </c>
      <c r="E240" s="25">
        <f>E239*5</f>
        <v>15151.51515</v>
      </c>
      <c r="J240" s="29" t="s">
        <v>102</v>
      </c>
      <c r="K240" s="30">
        <f>E241</f>
        <v>18181.81818</v>
      </c>
      <c r="P240" s="19"/>
    </row>
    <row r="241">
      <c r="A241" s="33" t="s">
        <v>103</v>
      </c>
      <c r="B241" s="34">
        <v>0.0</v>
      </c>
      <c r="C241" s="14"/>
      <c r="D241" s="28" t="s">
        <v>104</v>
      </c>
      <c r="E241" s="25">
        <f>E239*6</f>
        <v>18181.81818</v>
      </c>
      <c r="G241" s="35" t="s">
        <v>105</v>
      </c>
      <c r="H241" s="36">
        <f>H232+(25/60)</f>
        <v>4.583333333</v>
      </c>
      <c r="J241" s="29" t="s">
        <v>106</v>
      </c>
      <c r="K241" s="30">
        <f>E249</f>
        <v>20000</v>
      </c>
      <c r="P241" s="19"/>
    </row>
    <row r="242">
      <c r="A242" s="37" t="s">
        <v>107</v>
      </c>
      <c r="B242" s="38">
        <v>1.0</v>
      </c>
      <c r="C242" s="14"/>
      <c r="G242" s="35" t="s">
        <v>108</v>
      </c>
      <c r="H242" s="36">
        <f>I235+(25/60)</f>
        <v>0.4166666667</v>
      </c>
      <c r="I242" s="39" t="s">
        <v>109</v>
      </c>
      <c r="P242" s="19"/>
    </row>
    <row r="243">
      <c r="A243" s="40" t="s">
        <v>110</v>
      </c>
      <c r="B243" s="13">
        <v>0.0</v>
      </c>
      <c r="C243" s="14"/>
      <c r="D243" s="16" t="s">
        <v>111</v>
      </c>
      <c r="G243" s="16" t="s">
        <v>112</v>
      </c>
      <c r="H243" s="36"/>
      <c r="I243" s="39" t="s">
        <v>113</v>
      </c>
      <c r="P243" s="19"/>
    </row>
    <row r="244">
      <c r="A244" s="37" t="s">
        <v>114</v>
      </c>
      <c r="B244" s="38">
        <v>1.0</v>
      </c>
      <c r="C244" s="14"/>
      <c r="D244" s="28" t="s">
        <v>92</v>
      </c>
      <c r="E244" s="25">
        <f>E233/H235</f>
        <v>240000</v>
      </c>
      <c r="G244" s="28" t="s">
        <v>92</v>
      </c>
      <c r="H244" s="36">
        <f>E234/H242</f>
        <v>0</v>
      </c>
      <c r="I244" s="39" t="s">
        <v>115</v>
      </c>
      <c r="P244" s="19"/>
    </row>
    <row r="245">
      <c r="A245" s="40" t="s">
        <v>116</v>
      </c>
      <c r="B245" s="13">
        <v>0.0</v>
      </c>
      <c r="C245" s="14"/>
      <c r="D245" s="28" t="s">
        <v>94</v>
      </c>
      <c r="E245" s="25">
        <f>E233/I232</f>
        <v>166666.6667</v>
      </c>
      <c r="G245" s="28" t="s">
        <v>94</v>
      </c>
      <c r="H245" s="36">
        <f>E234/I232</f>
        <v>0</v>
      </c>
      <c r="I245" s="39" t="s">
        <v>117</v>
      </c>
      <c r="P245" s="19"/>
    </row>
    <row r="246">
      <c r="A246" s="37" t="s">
        <v>118</v>
      </c>
      <c r="B246" s="38">
        <v>1.0</v>
      </c>
      <c r="C246" s="14"/>
      <c r="D246" s="28" t="s">
        <v>96</v>
      </c>
      <c r="E246" s="25">
        <f>E245/H235</f>
        <v>40000</v>
      </c>
      <c r="G246" s="28" t="s">
        <v>96</v>
      </c>
      <c r="H246" s="36">
        <f>H245/H242</f>
        <v>0</v>
      </c>
      <c r="P246" s="19"/>
    </row>
    <row r="247">
      <c r="A247" s="40" t="s">
        <v>119</v>
      </c>
      <c r="B247" s="13">
        <v>0.0</v>
      </c>
      <c r="C247" s="14"/>
      <c r="D247" s="28" t="s">
        <v>99</v>
      </c>
      <c r="E247" s="25">
        <f>E246/12</f>
        <v>3333.333333</v>
      </c>
      <c r="G247" s="28" t="s">
        <v>99</v>
      </c>
      <c r="H247" s="36">
        <f>H246/12</f>
        <v>0</v>
      </c>
      <c r="P247" s="19"/>
    </row>
    <row r="248">
      <c r="A248" s="37" t="s">
        <v>120</v>
      </c>
      <c r="B248" s="38">
        <v>1.0</v>
      </c>
      <c r="C248" s="14"/>
      <c r="D248" s="28" t="s">
        <v>101</v>
      </c>
      <c r="E248" s="25">
        <f>E247*5</f>
        <v>16666.66667</v>
      </c>
      <c r="G248" s="28" t="s">
        <v>101</v>
      </c>
      <c r="H248" s="36">
        <f>H247*5</f>
        <v>0</v>
      </c>
      <c r="P248" s="19"/>
    </row>
    <row r="249">
      <c r="A249" s="40" t="s">
        <v>121</v>
      </c>
      <c r="B249" s="13">
        <v>0.0</v>
      </c>
      <c r="C249" s="14"/>
      <c r="D249" s="28" t="s">
        <v>104</v>
      </c>
      <c r="E249" s="25">
        <f>E247*6</f>
        <v>20000</v>
      </c>
      <c r="G249" s="28" t="s">
        <v>104</v>
      </c>
      <c r="H249" s="36">
        <f>H247*6</f>
        <v>0</v>
      </c>
      <c r="P249" s="19"/>
    </row>
    <row r="250">
      <c r="A250" s="37" t="s">
        <v>122</v>
      </c>
      <c r="B250" s="38">
        <v>1.0</v>
      </c>
      <c r="C250" s="14"/>
      <c r="P250" s="19"/>
    </row>
    <row r="251">
      <c r="A251" s="40" t="s">
        <v>123</v>
      </c>
      <c r="B251" s="13">
        <v>0.0</v>
      </c>
      <c r="C251" s="14"/>
      <c r="D251" s="28" t="s">
        <v>124</v>
      </c>
      <c r="E251" s="41"/>
      <c r="F251" s="41"/>
      <c r="P251" s="19"/>
    </row>
    <row r="252">
      <c r="A252" s="37" t="s">
        <v>125</v>
      </c>
      <c r="B252" s="38">
        <v>1.0</v>
      </c>
      <c r="C252" s="14"/>
      <c r="D252" s="4" t="s">
        <v>126</v>
      </c>
      <c r="E252" s="25">
        <f t="shared" ref="E252:E255" si="39">H246-E246</f>
        <v>-40000</v>
      </c>
      <c r="P252" s="19"/>
    </row>
    <row r="253">
      <c r="A253" s="42" t="s">
        <v>127</v>
      </c>
      <c r="C253" s="14"/>
      <c r="D253" s="4" t="s">
        <v>128</v>
      </c>
      <c r="E253" s="25">
        <f t="shared" si="39"/>
        <v>-3333.333333</v>
      </c>
      <c r="P253" s="19"/>
    </row>
    <row r="254">
      <c r="A254" s="32"/>
      <c r="C254" s="14"/>
      <c r="D254" s="4" t="s">
        <v>129</v>
      </c>
      <c r="E254" s="25">
        <f t="shared" si="39"/>
        <v>-16666.66667</v>
      </c>
      <c r="G254" s="43"/>
      <c r="P254" s="19"/>
    </row>
    <row r="255">
      <c r="A255" s="32"/>
      <c r="C255" s="14"/>
      <c r="D255" s="4" t="s">
        <v>130</v>
      </c>
      <c r="E255" s="25">
        <f t="shared" si="39"/>
        <v>-20000</v>
      </c>
      <c r="P255" s="19"/>
    </row>
    <row r="256">
      <c r="A256" s="24"/>
      <c r="C256" s="14"/>
      <c r="D256" s="28" t="s">
        <v>131</v>
      </c>
      <c r="P256" s="19"/>
    </row>
    <row r="257">
      <c r="A257" s="32"/>
      <c r="C257" s="14"/>
      <c r="D257" s="4" t="s">
        <v>132</v>
      </c>
      <c r="E257" s="25">
        <f t="shared" ref="E257:E260" si="40">H246-E238</f>
        <v>-36363.63636</v>
      </c>
      <c r="P257" s="19"/>
    </row>
    <row r="258">
      <c r="A258" s="32"/>
      <c r="C258" s="14"/>
      <c r="D258" s="4" t="s">
        <v>133</v>
      </c>
      <c r="E258" s="25">
        <f t="shared" si="40"/>
        <v>-3030.30303</v>
      </c>
      <c r="G258" s="28" t="s">
        <v>134</v>
      </c>
      <c r="I258" s="35" t="s">
        <v>135</v>
      </c>
      <c r="J258" s="35" t="s">
        <v>82</v>
      </c>
      <c r="P258" s="19"/>
    </row>
    <row r="259">
      <c r="A259" s="32"/>
      <c r="C259" s="14"/>
      <c r="D259" s="4" t="s">
        <v>136</v>
      </c>
      <c r="E259" s="25">
        <f t="shared" si="40"/>
        <v>-15151.51515</v>
      </c>
      <c r="G259" s="35" t="s">
        <v>137</v>
      </c>
      <c r="H259" s="25" t="str">
        <f>(E232/H244)-(25/60)</f>
        <v>#DIV/0!</v>
      </c>
      <c r="I259" s="25" t="str">
        <f t="shared" ref="I259:I260" si="41">INT(H259)</f>
        <v>#DIV/0!</v>
      </c>
      <c r="J259" s="36" t="str">
        <f t="shared" ref="J259:J260" si="42">INT((H259-I259)*60)</f>
        <v>#DIV/0!</v>
      </c>
      <c r="P259" s="19"/>
    </row>
    <row r="260">
      <c r="A260" s="44"/>
      <c r="B260" s="45"/>
      <c r="C260" s="46"/>
      <c r="D260" s="47" t="s">
        <v>138</v>
      </c>
      <c r="E260" s="45">
        <f t="shared" si="40"/>
        <v>-18181.81818</v>
      </c>
      <c r="F260" s="45"/>
      <c r="G260" s="48" t="s">
        <v>139</v>
      </c>
      <c r="H260" s="45" t="str">
        <f>H232-H259</f>
        <v>#DIV/0!</v>
      </c>
      <c r="I260" s="45" t="str">
        <f t="shared" si="41"/>
        <v>#DIV/0!</v>
      </c>
      <c r="J260" s="49" t="str">
        <f t="shared" si="42"/>
        <v>#DIV/0!</v>
      </c>
      <c r="K260" s="45"/>
      <c r="L260" s="45"/>
      <c r="M260" s="45"/>
      <c r="N260" s="45"/>
      <c r="O260" s="45"/>
      <c r="P260" s="50"/>
    </row>
    <row r="262">
      <c r="A262" s="51"/>
      <c r="D262" s="51"/>
    </row>
    <row r="263">
      <c r="A263" s="51"/>
      <c r="B263" s="51"/>
      <c r="E263" s="51"/>
      <c r="G263" s="51"/>
      <c r="H263" s="51"/>
      <c r="I263" s="51"/>
    </row>
    <row r="264">
      <c r="A264" s="51"/>
      <c r="B264" s="51"/>
      <c r="D264" s="51"/>
      <c r="E264" s="51"/>
      <c r="F264" s="51"/>
      <c r="G264" s="51"/>
      <c r="I264" s="51"/>
    </row>
    <row r="265">
      <c r="A265" s="51"/>
      <c r="D265" s="51"/>
      <c r="E265" s="51"/>
      <c r="F265" s="51"/>
      <c r="G265" s="51"/>
    </row>
    <row r="266">
      <c r="A266" s="51"/>
      <c r="B266" s="51"/>
      <c r="D266" s="51"/>
      <c r="G266" s="51"/>
      <c r="H266" s="51"/>
      <c r="I266" s="51"/>
    </row>
    <row r="267">
      <c r="A267" s="51"/>
      <c r="B267" s="51"/>
      <c r="F267" s="51"/>
      <c r="G267" s="51"/>
    </row>
    <row r="268">
      <c r="A268" s="51"/>
      <c r="B268" s="51"/>
      <c r="F268" s="51"/>
      <c r="G268" s="51"/>
    </row>
    <row r="269">
      <c r="A269" s="51"/>
      <c r="B269" s="51"/>
      <c r="D269" s="51"/>
    </row>
    <row r="270">
      <c r="A270" s="6" t="s">
        <v>70</v>
      </c>
      <c r="B270" s="52"/>
      <c r="C270" s="8"/>
      <c r="D270" s="9" t="s">
        <v>71</v>
      </c>
      <c r="E270" s="10"/>
      <c r="F270" s="10"/>
      <c r="G270" s="10"/>
      <c r="H270" s="10"/>
      <c r="I270" s="10"/>
      <c r="J270" s="10"/>
      <c r="K270" s="9"/>
      <c r="L270" s="10"/>
      <c r="M270" s="10"/>
      <c r="N270" s="10"/>
      <c r="O270" s="10"/>
      <c r="P270" s="11"/>
    </row>
    <row r="271">
      <c r="A271" s="12" t="s">
        <v>72</v>
      </c>
      <c r="B271" s="13">
        <v>1000000.0</v>
      </c>
      <c r="C271" s="14"/>
      <c r="D271" s="53" t="str">
        <f>B270</f>
        <v/>
      </c>
      <c r="E271" s="16" t="s">
        <v>73</v>
      </c>
      <c r="F271" s="17"/>
      <c r="G271" s="16" t="s">
        <v>74</v>
      </c>
      <c r="H271" s="16" t="s">
        <v>75</v>
      </c>
      <c r="I271" s="16" t="s">
        <v>76</v>
      </c>
      <c r="J271" s="18" t="s">
        <v>77</v>
      </c>
      <c r="P271" s="19"/>
    </row>
    <row r="272">
      <c r="A272" s="12" t="s">
        <v>78</v>
      </c>
      <c r="B272" s="13">
        <v>1000000.0</v>
      </c>
      <c r="C272" s="14"/>
      <c r="D272" s="20" t="s">
        <v>72</v>
      </c>
      <c r="E272" s="21">
        <f t="shared" ref="E272:E273" si="43">B271</f>
        <v>1000000</v>
      </c>
      <c r="F272" s="20" t="s">
        <v>79</v>
      </c>
      <c r="G272" s="21">
        <f t="shared" ref="G272:G273" si="44">B274</f>
        <v>4</v>
      </c>
      <c r="H272" s="4">
        <f>G272+(G273/60)</f>
        <v>4.166666667</v>
      </c>
      <c r="I272" s="21">
        <f>B279</f>
        <v>6</v>
      </c>
      <c r="J272" s="22" t="s">
        <v>80</v>
      </c>
      <c r="K272" s="23">
        <f>B281/B282</f>
        <v>0</v>
      </c>
      <c r="P272" s="19"/>
    </row>
    <row r="273">
      <c r="A273" s="12" t="s">
        <v>81</v>
      </c>
      <c r="B273" s="14"/>
      <c r="C273" s="14"/>
      <c r="D273" s="20" t="s">
        <v>78</v>
      </c>
      <c r="E273" s="21">
        <f t="shared" si="43"/>
        <v>1000000</v>
      </c>
      <c r="F273" s="20" t="s">
        <v>82</v>
      </c>
      <c r="G273" s="21">
        <f t="shared" si="44"/>
        <v>10</v>
      </c>
      <c r="J273" s="22" t="s">
        <v>83</v>
      </c>
      <c r="K273" s="23">
        <f>B283/B284</f>
        <v>0</v>
      </c>
      <c r="P273" s="19"/>
    </row>
    <row r="274">
      <c r="A274" s="24" t="s">
        <v>79</v>
      </c>
      <c r="B274" s="13">
        <v>4.0</v>
      </c>
      <c r="C274" s="14"/>
      <c r="D274" s="20" t="s">
        <v>84</v>
      </c>
      <c r="E274" s="25">
        <f>E272-E273</f>
        <v>0</v>
      </c>
      <c r="F274" s="26"/>
      <c r="G274" s="16" t="s">
        <v>85</v>
      </c>
      <c r="H274" s="16" t="s">
        <v>86</v>
      </c>
      <c r="I274" s="16" t="s">
        <v>87</v>
      </c>
      <c r="J274" s="22" t="s">
        <v>88</v>
      </c>
      <c r="K274" s="23">
        <f>B285/B286</f>
        <v>0</v>
      </c>
      <c r="P274" s="19"/>
    </row>
    <row r="275">
      <c r="A275" s="24" t="s">
        <v>89</v>
      </c>
      <c r="B275" s="13">
        <v>10.0</v>
      </c>
      <c r="C275" s="14"/>
      <c r="D275" s="16" t="s">
        <v>90</v>
      </c>
      <c r="F275" s="20" t="s">
        <v>79</v>
      </c>
      <c r="G275" s="21">
        <f t="shared" ref="G275:G276" si="45">B277</f>
        <v>4</v>
      </c>
      <c r="H275" s="25">
        <f>G275+(G276/60)</f>
        <v>4.166666667</v>
      </c>
      <c r="I275" s="25">
        <f>H272-H275</f>
        <v>0</v>
      </c>
      <c r="J275" s="22" t="s">
        <v>91</v>
      </c>
      <c r="K275" s="23">
        <f>B287/B288</f>
        <v>0</v>
      </c>
      <c r="P275" s="19"/>
    </row>
    <row r="276">
      <c r="A276" s="12" t="s">
        <v>85</v>
      </c>
      <c r="B276" s="27"/>
      <c r="C276" s="14"/>
      <c r="D276" s="28" t="s">
        <v>92</v>
      </c>
      <c r="E276" s="25">
        <f>E272/H281</f>
        <v>218181.8182</v>
      </c>
      <c r="F276" s="20" t="s">
        <v>82</v>
      </c>
      <c r="G276" s="21">
        <f t="shared" si="45"/>
        <v>10</v>
      </c>
      <c r="J276" s="22" t="s">
        <v>93</v>
      </c>
      <c r="K276" s="23">
        <f>B289/B290</f>
        <v>0</v>
      </c>
      <c r="P276" s="19"/>
    </row>
    <row r="277">
      <c r="A277" s="24" t="s">
        <v>79</v>
      </c>
      <c r="B277" s="13">
        <v>4.0</v>
      </c>
      <c r="C277" s="14"/>
      <c r="D277" s="28" t="s">
        <v>94</v>
      </c>
      <c r="E277" s="25">
        <f>E272/I272</f>
        <v>166666.6667</v>
      </c>
      <c r="J277" s="22" t="s">
        <v>95</v>
      </c>
      <c r="K277" s="23">
        <f>B291/B292</f>
        <v>0</v>
      </c>
      <c r="P277" s="19"/>
    </row>
    <row r="278">
      <c r="A278" s="24" t="s">
        <v>89</v>
      </c>
      <c r="B278" s="13">
        <v>10.0</v>
      </c>
      <c r="C278" s="14"/>
      <c r="D278" s="28" t="s">
        <v>96</v>
      </c>
      <c r="E278" s="25">
        <f>E276/I272</f>
        <v>36363.63636</v>
      </c>
      <c r="J278" s="29" t="s">
        <v>97</v>
      </c>
      <c r="K278" s="30">
        <f>SUM(K272:K277)</f>
        <v>0</v>
      </c>
      <c r="P278" s="19"/>
    </row>
    <row r="279">
      <c r="A279" s="12" t="s">
        <v>98</v>
      </c>
      <c r="B279" s="13">
        <v>6.0</v>
      </c>
      <c r="C279" s="14"/>
      <c r="D279" s="28" t="s">
        <v>99</v>
      </c>
      <c r="E279" s="31">
        <f>E278/12</f>
        <v>3030.30303</v>
      </c>
      <c r="I279" s="29"/>
      <c r="J279" s="29" t="s">
        <v>100</v>
      </c>
      <c r="K279" s="30">
        <f>H289</f>
        <v>0</v>
      </c>
      <c r="P279" s="19"/>
    </row>
    <row r="280">
      <c r="A280" s="32"/>
      <c r="B280" s="14"/>
      <c r="C280" s="14"/>
      <c r="D280" s="28" t="s">
        <v>101</v>
      </c>
      <c r="E280" s="25">
        <f>E279*5</f>
        <v>15151.51515</v>
      </c>
      <c r="J280" s="29" t="s">
        <v>102</v>
      </c>
      <c r="K280" s="30">
        <f>E281</f>
        <v>18181.81818</v>
      </c>
      <c r="P280" s="19"/>
    </row>
    <row r="281">
      <c r="A281" s="33" t="s">
        <v>103</v>
      </c>
      <c r="B281" s="34">
        <v>0.0</v>
      </c>
      <c r="C281" s="14"/>
      <c r="D281" s="28" t="s">
        <v>104</v>
      </c>
      <c r="E281" s="25">
        <f>E279*6</f>
        <v>18181.81818</v>
      </c>
      <c r="G281" s="35" t="s">
        <v>105</v>
      </c>
      <c r="H281" s="36">
        <f>H272+(25/60)</f>
        <v>4.583333333</v>
      </c>
      <c r="J281" s="29" t="s">
        <v>106</v>
      </c>
      <c r="K281" s="30">
        <f>E289</f>
        <v>20000</v>
      </c>
      <c r="P281" s="19"/>
    </row>
    <row r="282">
      <c r="A282" s="37" t="s">
        <v>107</v>
      </c>
      <c r="B282" s="38">
        <v>1.0</v>
      </c>
      <c r="C282" s="14"/>
      <c r="G282" s="35" t="s">
        <v>108</v>
      </c>
      <c r="H282" s="36">
        <f>I275+(25/60)</f>
        <v>0.4166666667</v>
      </c>
      <c r="I282" s="39" t="s">
        <v>109</v>
      </c>
      <c r="P282" s="19"/>
    </row>
    <row r="283">
      <c r="A283" s="40" t="s">
        <v>110</v>
      </c>
      <c r="B283" s="13">
        <v>0.0</v>
      </c>
      <c r="C283" s="14"/>
      <c r="D283" s="16" t="s">
        <v>111</v>
      </c>
      <c r="G283" s="16" t="s">
        <v>112</v>
      </c>
      <c r="H283" s="36"/>
      <c r="I283" s="39" t="s">
        <v>113</v>
      </c>
      <c r="P283" s="19"/>
    </row>
    <row r="284">
      <c r="A284" s="37" t="s">
        <v>114</v>
      </c>
      <c r="B284" s="38">
        <v>1.0</v>
      </c>
      <c r="C284" s="14"/>
      <c r="D284" s="28" t="s">
        <v>92</v>
      </c>
      <c r="E284" s="25">
        <f>E273/H275</f>
        <v>240000</v>
      </c>
      <c r="G284" s="28" t="s">
        <v>92</v>
      </c>
      <c r="H284" s="36">
        <f>E274/H282</f>
        <v>0</v>
      </c>
      <c r="I284" s="39" t="s">
        <v>115</v>
      </c>
      <c r="P284" s="19"/>
    </row>
    <row r="285">
      <c r="A285" s="40" t="s">
        <v>116</v>
      </c>
      <c r="B285" s="13">
        <v>0.0</v>
      </c>
      <c r="C285" s="14"/>
      <c r="D285" s="28" t="s">
        <v>94</v>
      </c>
      <c r="E285" s="25">
        <f>E273/I272</f>
        <v>166666.6667</v>
      </c>
      <c r="G285" s="28" t="s">
        <v>94</v>
      </c>
      <c r="H285" s="36">
        <f>E274/I272</f>
        <v>0</v>
      </c>
      <c r="I285" s="39" t="s">
        <v>117</v>
      </c>
      <c r="P285" s="19"/>
    </row>
    <row r="286">
      <c r="A286" s="37" t="s">
        <v>118</v>
      </c>
      <c r="B286" s="38">
        <v>1.0</v>
      </c>
      <c r="C286" s="14"/>
      <c r="D286" s="28" t="s">
        <v>96</v>
      </c>
      <c r="E286" s="25">
        <f>E285/H275</f>
        <v>40000</v>
      </c>
      <c r="G286" s="28" t="s">
        <v>96</v>
      </c>
      <c r="H286" s="36">
        <f>H285/H282</f>
        <v>0</v>
      </c>
      <c r="P286" s="19"/>
    </row>
    <row r="287">
      <c r="A287" s="40" t="s">
        <v>119</v>
      </c>
      <c r="B287" s="13">
        <v>0.0</v>
      </c>
      <c r="C287" s="14"/>
      <c r="D287" s="28" t="s">
        <v>99</v>
      </c>
      <c r="E287" s="25">
        <f>E286/12</f>
        <v>3333.333333</v>
      </c>
      <c r="G287" s="28" t="s">
        <v>99</v>
      </c>
      <c r="H287" s="36">
        <f>H286/12</f>
        <v>0</v>
      </c>
      <c r="P287" s="19"/>
    </row>
    <row r="288">
      <c r="A288" s="37" t="s">
        <v>120</v>
      </c>
      <c r="B288" s="38">
        <v>1.0</v>
      </c>
      <c r="C288" s="14"/>
      <c r="D288" s="28" t="s">
        <v>101</v>
      </c>
      <c r="E288" s="25">
        <f>E287*5</f>
        <v>16666.66667</v>
      </c>
      <c r="G288" s="28" t="s">
        <v>101</v>
      </c>
      <c r="H288" s="36">
        <f>H287*5</f>
        <v>0</v>
      </c>
      <c r="P288" s="19"/>
    </row>
    <row r="289">
      <c r="A289" s="40" t="s">
        <v>121</v>
      </c>
      <c r="B289" s="13">
        <v>0.0</v>
      </c>
      <c r="C289" s="14"/>
      <c r="D289" s="28" t="s">
        <v>104</v>
      </c>
      <c r="E289" s="25">
        <f>E287*6</f>
        <v>20000</v>
      </c>
      <c r="G289" s="28" t="s">
        <v>104</v>
      </c>
      <c r="H289" s="36">
        <f>H287*6</f>
        <v>0</v>
      </c>
      <c r="P289" s="19"/>
    </row>
    <row r="290">
      <c r="A290" s="37" t="s">
        <v>122</v>
      </c>
      <c r="B290" s="38">
        <v>1.0</v>
      </c>
      <c r="C290" s="14"/>
      <c r="P290" s="19"/>
    </row>
    <row r="291">
      <c r="A291" s="40" t="s">
        <v>123</v>
      </c>
      <c r="B291" s="13">
        <v>0.0</v>
      </c>
      <c r="C291" s="14"/>
      <c r="D291" s="28" t="s">
        <v>124</v>
      </c>
      <c r="E291" s="41"/>
      <c r="F291" s="41"/>
      <c r="P291" s="19"/>
    </row>
    <row r="292">
      <c r="A292" s="37" t="s">
        <v>125</v>
      </c>
      <c r="B292" s="38">
        <v>1.0</v>
      </c>
      <c r="C292" s="14"/>
      <c r="D292" s="4" t="s">
        <v>126</v>
      </c>
      <c r="E292" s="25">
        <f t="shared" ref="E292:E295" si="46">H286-E286</f>
        <v>-40000</v>
      </c>
      <c r="P292" s="19"/>
    </row>
    <row r="293">
      <c r="A293" s="42" t="s">
        <v>127</v>
      </c>
      <c r="C293" s="14"/>
      <c r="D293" s="4" t="s">
        <v>128</v>
      </c>
      <c r="E293" s="25">
        <f t="shared" si="46"/>
        <v>-3333.333333</v>
      </c>
      <c r="P293" s="19"/>
    </row>
    <row r="294">
      <c r="A294" s="32"/>
      <c r="C294" s="14"/>
      <c r="D294" s="4" t="s">
        <v>129</v>
      </c>
      <c r="E294" s="25">
        <f t="shared" si="46"/>
        <v>-16666.66667</v>
      </c>
      <c r="G294" s="43"/>
      <c r="P294" s="19"/>
    </row>
    <row r="295">
      <c r="A295" s="32"/>
      <c r="C295" s="14"/>
      <c r="D295" s="4" t="s">
        <v>130</v>
      </c>
      <c r="E295" s="25">
        <f t="shared" si="46"/>
        <v>-20000</v>
      </c>
      <c r="P295" s="19"/>
    </row>
    <row r="296">
      <c r="A296" s="24"/>
      <c r="C296" s="14"/>
      <c r="D296" s="28" t="s">
        <v>131</v>
      </c>
      <c r="P296" s="19"/>
    </row>
    <row r="297">
      <c r="A297" s="32"/>
      <c r="C297" s="14"/>
      <c r="D297" s="4" t="s">
        <v>132</v>
      </c>
      <c r="E297" s="25">
        <f t="shared" ref="E297:E300" si="47">H286-E278</f>
        <v>-36363.63636</v>
      </c>
      <c r="P297" s="19"/>
    </row>
    <row r="298">
      <c r="A298" s="32"/>
      <c r="C298" s="14"/>
      <c r="D298" s="4" t="s">
        <v>133</v>
      </c>
      <c r="E298" s="25">
        <f t="shared" si="47"/>
        <v>-3030.30303</v>
      </c>
      <c r="G298" s="28" t="s">
        <v>134</v>
      </c>
      <c r="I298" s="35" t="s">
        <v>135</v>
      </c>
      <c r="J298" s="35" t="s">
        <v>82</v>
      </c>
      <c r="P298" s="19"/>
    </row>
    <row r="299">
      <c r="A299" s="32"/>
      <c r="C299" s="14"/>
      <c r="D299" s="4" t="s">
        <v>136</v>
      </c>
      <c r="E299" s="25">
        <f t="shared" si="47"/>
        <v>-15151.51515</v>
      </c>
      <c r="G299" s="35" t="s">
        <v>137</v>
      </c>
      <c r="H299" s="25" t="str">
        <f>(E272/H284)-(25/60)</f>
        <v>#DIV/0!</v>
      </c>
      <c r="I299" s="25" t="str">
        <f t="shared" ref="I299:I300" si="48">INT(H299)</f>
        <v>#DIV/0!</v>
      </c>
      <c r="J299" s="36" t="str">
        <f t="shared" ref="J299:J300" si="49">INT((H299-I299)*60)</f>
        <v>#DIV/0!</v>
      </c>
      <c r="P299" s="19"/>
    </row>
    <row r="300">
      <c r="A300" s="44"/>
      <c r="B300" s="45"/>
      <c r="C300" s="46"/>
      <c r="D300" s="47" t="s">
        <v>138</v>
      </c>
      <c r="E300" s="45">
        <f t="shared" si="47"/>
        <v>-18181.81818</v>
      </c>
      <c r="F300" s="45"/>
      <c r="G300" s="48" t="s">
        <v>139</v>
      </c>
      <c r="H300" s="45" t="str">
        <f>H272-H299</f>
        <v>#DIV/0!</v>
      </c>
      <c r="I300" s="45" t="str">
        <f t="shared" si="48"/>
        <v>#DIV/0!</v>
      </c>
      <c r="J300" s="49" t="str">
        <f t="shared" si="49"/>
        <v>#DIV/0!</v>
      </c>
      <c r="K300" s="45"/>
      <c r="L300" s="45"/>
      <c r="M300" s="45"/>
      <c r="N300" s="45"/>
      <c r="O300" s="45"/>
      <c r="P300" s="50"/>
    </row>
    <row r="301">
      <c r="A301" s="51"/>
      <c r="B301" s="51"/>
      <c r="D301" s="51"/>
    </row>
    <row r="302">
      <c r="D302" s="51"/>
      <c r="I302" s="51"/>
    </row>
    <row r="303">
      <c r="D303" s="51"/>
      <c r="I303" s="51"/>
    </row>
    <row r="304">
      <c r="A304" s="51"/>
      <c r="D304" s="51"/>
      <c r="G304" s="51"/>
    </row>
    <row r="305">
      <c r="A305" s="51"/>
      <c r="G305" s="51"/>
    </row>
    <row r="306">
      <c r="A306" s="51"/>
      <c r="D306" s="51"/>
      <c r="G306" s="51"/>
    </row>
    <row r="307">
      <c r="A307" s="51"/>
      <c r="D307" s="51"/>
      <c r="G307" s="51"/>
    </row>
    <row r="308">
      <c r="A308" s="51"/>
      <c r="D308" s="51"/>
      <c r="G308" s="51"/>
    </row>
    <row r="309">
      <c r="A309" s="51"/>
      <c r="D309" s="51"/>
      <c r="G309" s="51"/>
    </row>
    <row r="310">
      <c r="A310" s="6" t="s">
        <v>70</v>
      </c>
      <c r="B310" s="52"/>
      <c r="C310" s="8"/>
      <c r="D310" s="9" t="s">
        <v>71</v>
      </c>
      <c r="E310" s="10"/>
      <c r="F310" s="10"/>
      <c r="G310" s="10"/>
      <c r="H310" s="10"/>
      <c r="I310" s="10"/>
      <c r="J310" s="10"/>
      <c r="K310" s="9"/>
      <c r="L310" s="10"/>
      <c r="M310" s="10"/>
      <c r="N310" s="10"/>
      <c r="O310" s="10"/>
      <c r="P310" s="11"/>
    </row>
    <row r="311">
      <c r="A311" s="12" t="s">
        <v>72</v>
      </c>
      <c r="B311" s="13">
        <v>1000000.0</v>
      </c>
      <c r="C311" s="14"/>
      <c r="D311" s="53" t="str">
        <f>B310</f>
        <v/>
      </c>
      <c r="E311" s="16" t="s">
        <v>73</v>
      </c>
      <c r="F311" s="17"/>
      <c r="G311" s="16" t="s">
        <v>74</v>
      </c>
      <c r="H311" s="16" t="s">
        <v>75</v>
      </c>
      <c r="I311" s="16" t="s">
        <v>76</v>
      </c>
      <c r="J311" s="18" t="s">
        <v>77</v>
      </c>
      <c r="P311" s="19"/>
    </row>
    <row r="312">
      <c r="A312" s="12" t="s">
        <v>78</v>
      </c>
      <c r="B312" s="13">
        <v>1000000.0</v>
      </c>
      <c r="C312" s="14"/>
      <c r="D312" s="20" t="s">
        <v>72</v>
      </c>
      <c r="E312" s="21">
        <f t="shared" ref="E312:E313" si="50">B311</f>
        <v>1000000</v>
      </c>
      <c r="F312" s="20" t="s">
        <v>79</v>
      </c>
      <c r="G312" s="21">
        <f t="shared" ref="G312:G313" si="51">B314</f>
        <v>4</v>
      </c>
      <c r="H312" s="4">
        <f>G312+(G313/60)</f>
        <v>4.166666667</v>
      </c>
      <c r="I312" s="21">
        <f>B319</f>
        <v>6</v>
      </c>
      <c r="J312" s="22" t="s">
        <v>80</v>
      </c>
      <c r="K312" s="23">
        <f>B321/B322</f>
        <v>0</v>
      </c>
      <c r="P312" s="19"/>
    </row>
    <row r="313">
      <c r="A313" s="12" t="s">
        <v>81</v>
      </c>
      <c r="B313" s="14"/>
      <c r="C313" s="14"/>
      <c r="D313" s="20" t="s">
        <v>78</v>
      </c>
      <c r="E313" s="21">
        <f t="shared" si="50"/>
        <v>1000000</v>
      </c>
      <c r="F313" s="20" t="s">
        <v>82</v>
      </c>
      <c r="G313" s="21">
        <f t="shared" si="51"/>
        <v>10</v>
      </c>
      <c r="J313" s="22" t="s">
        <v>83</v>
      </c>
      <c r="K313" s="23">
        <f>B323/B324</f>
        <v>0</v>
      </c>
      <c r="P313" s="19"/>
    </row>
    <row r="314">
      <c r="A314" s="24" t="s">
        <v>79</v>
      </c>
      <c r="B314" s="13">
        <v>4.0</v>
      </c>
      <c r="C314" s="14"/>
      <c r="D314" s="20" t="s">
        <v>84</v>
      </c>
      <c r="E314" s="25">
        <f>E312-E313</f>
        <v>0</v>
      </c>
      <c r="F314" s="26"/>
      <c r="G314" s="16" t="s">
        <v>85</v>
      </c>
      <c r="H314" s="16" t="s">
        <v>86</v>
      </c>
      <c r="I314" s="16" t="s">
        <v>87</v>
      </c>
      <c r="J314" s="22" t="s">
        <v>88</v>
      </c>
      <c r="K314" s="23">
        <f>B325/B326</f>
        <v>0</v>
      </c>
      <c r="P314" s="19"/>
    </row>
    <row r="315">
      <c r="A315" s="24" t="s">
        <v>89</v>
      </c>
      <c r="B315" s="13">
        <v>10.0</v>
      </c>
      <c r="C315" s="14"/>
      <c r="D315" s="16" t="s">
        <v>90</v>
      </c>
      <c r="F315" s="20" t="s">
        <v>79</v>
      </c>
      <c r="G315" s="21">
        <f t="shared" ref="G315:G316" si="52">B317</f>
        <v>4</v>
      </c>
      <c r="H315" s="25">
        <f>G315+(G316/60)</f>
        <v>4.166666667</v>
      </c>
      <c r="I315" s="25">
        <f>H312-H315</f>
        <v>0</v>
      </c>
      <c r="J315" s="22" t="s">
        <v>91</v>
      </c>
      <c r="K315" s="23">
        <f>B327/B328</f>
        <v>0</v>
      </c>
      <c r="P315" s="19"/>
    </row>
    <row r="316">
      <c r="A316" s="12" t="s">
        <v>85</v>
      </c>
      <c r="B316" s="27"/>
      <c r="C316" s="14"/>
      <c r="D316" s="28" t="s">
        <v>92</v>
      </c>
      <c r="E316" s="25">
        <f>E312/H321</f>
        <v>218181.8182</v>
      </c>
      <c r="F316" s="20" t="s">
        <v>82</v>
      </c>
      <c r="G316" s="21">
        <f t="shared" si="52"/>
        <v>10</v>
      </c>
      <c r="J316" s="22" t="s">
        <v>93</v>
      </c>
      <c r="K316" s="23">
        <f>B329/B330</f>
        <v>0</v>
      </c>
      <c r="P316" s="19"/>
    </row>
    <row r="317">
      <c r="A317" s="24" t="s">
        <v>79</v>
      </c>
      <c r="B317" s="13">
        <v>4.0</v>
      </c>
      <c r="C317" s="14"/>
      <c r="D317" s="28" t="s">
        <v>94</v>
      </c>
      <c r="E317" s="25">
        <f>E312/I312</f>
        <v>166666.6667</v>
      </c>
      <c r="J317" s="22" t="s">
        <v>95</v>
      </c>
      <c r="K317" s="23">
        <f>B331/B332</f>
        <v>0</v>
      </c>
      <c r="P317" s="19"/>
    </row>
    <row r="318">
      <c r="A318" s="24" t="s">
        <v>89</v>
      </c>
      <c r="B318" s="13">
        <v>10.0</v>
      </c>
      <c r="C318" s="14"/>
      <c r="D318" s="28" t="s">
        <v>96</v>
      </c>
      <c r="E318" s="25">
        <f>E316/I312</f>
        <v>36363.63636</v>
      </c>
      <c r="J318" s="29" t="s">
        <v>97</v>
      </c>
      <c r="K318" s="30">
        <f>SUM(K312:K317)</f>
        <v>0</v>
      </c>
      <c r="P318" s="19"/>
    </row>
    <row r="319">
      <c r="A319" s="12" t="s">
        <v>98</v>
      </c>
      <c r="B319" s="13">
        <v>6.0</v>
      </c>
      <c r="C319" s="14"/>
      <c r="D319" s="28" t="s">
        <v>99</v>
      </c>
      <c r="E319" s="31">
        <f>E318/12</f>
        <v>3030.30303</v>
      </c>
      <c r="I319" s="29"/>
      <c r="J319" s="29" t="s">
        <v>100</v>
      </c>
      <c r="K319" s="30">
        <f>H329</f>
        <v>0</v>
      </c>
      <c r="P319" s="19"/>
    </row>
    <row r="320">
      <c r="A320" s="32"/>
      <c r="B320" s="14"/>
      <c r="C320" s="14"/>
      <c r="D320" s="28" t="s">
        <v>101</v>
      </c>
      <c r="E320" s="25">
        <f>E319*5</f>
        <v>15151.51515</v>
      </c>
      <c r="J320" s="29" t="s">
        <v>102</v>
      </c>
      <c r="K320" s="30">
        <f>E321</f>
        <v>18181.81818</v>
      </c>
      <c r="P320" s="19"/>
    </row>
    <row r="321">
      <c r="A321" s="33" t="s">
        <v>103</v>
      </c>
      <c r="B321" s="34">
        <v>0.0</v>
      </c>
      <c r="C321" s="14"/>
      <c r="D321" s="28" t="s">
        <v>104</v>
      </c>
      <c r="E321" s="25">
        <f>E319*6</f>
        <v>18181.81818</v>
      </c>
      <c r="G321" s="35" t="s">
        <v>105</v>
      </c>
      <c r="H321" s="36">
        <f>H312+(25/60)</f>
        <v>4.583333333</v>
      </c>
      <c r="J321" s="29" t="s">
        <v>106</v>
      </c>
      <c r="K321" s="30">
        <f>E329</f>
        <v>20000</v>
      </c>
      <c r="P321" s="19"/>
    </row>
    <row r="322">
      <c r="A322" s="37" t="s">
        <v>107</v>
      </c>
      <c r="B322" s="38">
        <v>1.0</v>
      </c>
      <c r="C322" s="14"/>
      <c r="G322" s="35" t="s">
        <v>108</v>
      </c>
      <c r="H322" s="36">
        <f>I315+(25/60)</f>
        <v>0.4166666667</v>
      </c>
      <c r="I322" s="39" t="s">
        <v>109</v>
      </c>
      <c r="P322" s="19"/>
    </row>
    <row r="323">
      <c r="A323" s="40" t="s">
        <v>110</v>
      </c>
      <c r="B323" s="13">
        <v>0.0</v>
      </c>
      <c r="C323" s="14"/>
      <c r="D323" s="16" t="s">
        <v>111</v>
      </c>
      <c r="G323" s="16" t="s">
        <v>112</v>
      </c>
      <c r="H323" s="36"/>
      <c r="I323" s="39" t="s">
        <v>113</v>
      </c>
      <c r="P323" s="19"/>
    </row>
    <row r="324">
      <c r="A324" s="37" t="s">
        <v>114</v>
      </c>
      <c r="B324" s="38">
        <v>1.0</v>
      </c>
      <c r="C324" s="14"/>
      <c r="D324" s="28" t="s">
        <v>92</v>
      </c>
      <c r="E324" s="25">
        <f>E313/H315</f>
        <v>240000</v>
      </c>
      <c r="G324" s="28" t="s">
        <v>92</v>
      </c>
      <c r="H324" s="36">
        <f>E314/H322</f>
        <v>0</v>
      </c>
      <c r="I324" s="39" t="s">
        <v>115</v>
      </c>
      <c r="P324" s="19"/>
    </row>
    <row r="325">
      <c r="A325" s="40" t="s">
        <v>116</v>
      </c>
      <c r="B325" s="13">
        <v>0.0</v>
      </c>
      <c r="C325" s="14"/>
      <c r="D325" s="28" t="s">
        <v>94</v>
      </c>
      <c r="E325" s="25">
        <f>E313/I312</f>
        <v>166666.6667</v>
      </c>
      <c r="G325" s="28" t="s">
        <v>94</v>
      </c>
      <c r="H325" s="36">
        <f>E314/I312</f>
        <v>0</v>
      </c>
      <c r="I325" s="39" t="s">
        <v>117</v>
      </c>
      <c r="P325" s="19"/>
    </row>
    <row r="326">
      <c r="A326" s="37" t="s">
        <v>118</v>
      </c>
      <c r="B326" s="38">
        <v>1.0</v>
      </c>
      <c r="C326" s="14"/>
      <c r="D326" s="28" t="s">
        <v>96</v>
      </c>
      <c r="E326" s="25">
        <f>E325/H315</f>
        <v>40000</v>
      </c>
      <c r="G326" s="28" t="s">
        <v>96</v>
      </c>
      <c r="H326" s="36">
        <f>H325/H322</f>
        <v>0</v>
      </c>
      <c r="P326" s="19"/>
    </row>
    <row r="327">
      <c r="A327" s="40" t="s">
        <v>119</v>
      </c>
      <c r="B327" s="13">
        <v>0.0</v>
      </c>
      <c r="C327" s="14"/>
      <c r="D327" s="28" t="s">
        <v>99</v>
      </c>
      <c r="E327" s="25">
        <f>E326/12</f>
        <v>3333.333333</v>
      </c>
      <c r="G327" s="28" t="s">
        <v>99</v>
      </c>
      <c r="H327" s="36">
        <f>H326/12</f>
        <v>0</v>
      </c>
      <c r="P327" s="19"/>
    </row>
    <row r="328">
      <c r="A328" s="37" t="s">
        <v>120</v>
      </c>
      <c r="B328" s="38">
        <v>1.0</v>
      </c>
      <c r="C328" s="14"/>
      <c r="D328" s="28" t="s">
        <v>101</v>
      </c>
      <c r="E328" s="25">
        <f>E327*5</f>
        <v>16666.66667</v>
      </c>
      <c r="G328" s="28" t="s">
        <v>101</v>
      </c>
      <c r="H328" s="36">
        <f>H327*5</f>
        <v>0</v>
      </c>
      <c r="P328" s="19"/>
    </row>
    <row r="329">
      <c r="A329" s="40" t="s">
        <v>121</v>
      </c>
      <c r="B329" s="13">
        <v>0.0</v>
      </c>
      <c r="C329" s="14"/>
      <c r="D329" s="28" t="s">
        <v>104</v>
      </c>
      <c r="E329" s="25">
        <f>E327*6</f>
        <v>20000</v>
      </c>
      <c r="G329" s="28" t="s">
        <v>104</v>
      </c>
      <c r="H329" s="36">
        <f>H327*6</f>
        <v>0</v>
      </c>
      <c r="P329" s="19"/>
    </row>
    <row r="330">
      <c r="A330" s="37" t="s">
        <v>122</v>
      </c>
      <c r="B330" s="38">
        <v>1.0</v>
      </c>
      <c r="C330" s="14"/>
      <c r="P330" s="19"/>
    </row>
    <row r="331">
      <c r="A331" s="40" t="s">
        <v>123</v>
      </c>
      <c r="B331" s="13">
        <v>0.0</v>
      </c>
      <c r="C331" s="14"/>
      <c r="D331" s="28" t="s">
        <v>124</v>
      </c>
      <c r="E331" s="41"/>
      <c r="F331" s="41"/>
      <c r="P331" s="19"/>
    </row>
    <row r="332">
      <c r="A332" s="37" t="s">
        <v>125</v>
      </c>
      <c r="B332" s="38">
        <v>1.0</v>
      </c>
      <c r="C332" s="14"/>
      <c r="D332" s="4" t="s">
        <v>126</v>
      </c>
      <c r="E332" s="25">
        <f t="shared" ref="E332:E335" si="53">H326-E326</f>
        <v>-40000</v>
      </c>
      <c r="P332" s="19"/>
    </row>
    <row r="333">
      <c r="A333" s="42" t="s">
        <v>127</v>
      </c>
      <c r="C333" s="14"/>
      <c r="D333" s="4" t="s">
        <v>128</v>
      </c>
      <c r="E333" s="25">
        <f t="shared" si="53"/>
        <v>-3333.333333</v>
      </c>
      <c r="P333" s="19"/>
    </row>
    <row r="334">
      <c r="A334" s="32"/>
      <c r="C334" s="14"/>
      <c r="D334" s="4" t="s">
        <v>129</v>
      </c>
      <c r="E334" s="25">
        <f t="shared" si="53"/>
        <v>-16666.66667</v>
      </c>
      <c r="G334" s="43"/>
      <c r="P334" s="19"/>
    </row>
    <row r="335">
      <c r="A335" s="32"/>
      <c r="C335" s="14"/>
      <c r="D335" s="4" t="s">
        <v>130</v>
      </c>
      <c r="E335" s="25">
        <f t="shared" si="53"/>
        <v>-20000</v>
      </c>
      <c r="P335" s="19"/>
    </row>
    <row r="336">
      <c r="A336" s="24"/>
      <c r="C336" s="14"/>
      <c r="D336" s="28" t="s">
        <v>131</v>
      </c>
      <c r="P336" s="19"/>
    </row>
    <row r="337">
      <c r="A337" s="32"/>
      <c r="C337" s="14"/>
      <c r="D337" s="4" t="s">
        <v>132</v>
      </c>
      <c r="E337" s="25">
        <f t="shared" ref="E337:E340" si="54">H326-E318</f>
        <v>-36363.63636</v>
      </c>
      <c r="P337" s="19"/>
    </row>
    <row r="338">
      <c r="A338" s="32"/>
      <c r="C338" s="14"/>
      <c r="D338" s="4" t="s">
        <v>133</v>
      </c>
      <c r="E338" s="25">
        <f t="shared" si="54"/>
        <v>-3030.30303</v>
      </c>
      <c r="G338" s="28" t="s">
        <v>134</v>
      </c>
      <c r="I338" s="35" t="s">
        <v>135</v>
      </c>
      <c r="J338" s="35" t="s">
        <v>82</v>
      </c>
      <c r="P338" s="19"/>
    </row>
    <row r="339">
      <c r="A339" s="32"/>
      <c r="C339" s="14"/>
      <c r="D339" s="4" t="s">
        <v>136</v>
      </c>
      <c r="E339" s="25">
        <f t="shared" si="54"/>
        <v>-15151.51515</v>
      </c>
      <c r="G339" s="35" t="s">
        <v>137</v>
      </c>
      <c r="H339" s="25" t="str">
        <f>(E312/H324)-(25/60)</f>
        <v>#DIV/0!</v>
      </c>
      <c r="I339" s="25" t="str">
        <f t="shared" ref="I339:I340" si="55">INT(H339)</f>
        <v>#DIV/0!</v>
      </c>
      <c r="J339" s="36" t="str">
        <f t="shared" ref="J339:J340" si="56">INT((H339-I339)*60)</f>
        <v>#DIV/0!</v>
      </c>
      <c r="P339" s="19"/>
    </row>
    <row r="340">
      <c r="A340" s="44"/>
      <c r="B340" s="45"/>
      <c r="C340" s="46"/>
      <c r="D340" s="47" t="s">
        <v>138</v>
      </c>
      <c r="E340" s="45">
        <f t="shared" si="54"/>
        <v>-18181.81818</v>
      </c>
      <c r="F340" s="45"/>
      <c r="G340" s="48" t="s">
        <v>139</v>
      </c>
      <c r="H340" s="45" t="str">
        <f>H312-H339</f>
        <v>#DIV/0!</v>
      </c>
      <c r="I340" s="45" t="str">
        <f t="shared" si="55"/>
        <v>#DIV/0!</v>
      </c>
      <c r="J340" s="49" t="str">
        <f t="shared" si="56"/>
        <v>#DIV/0!</v>
      </c>
      <c r="K340" s="45"/>
      <c r="L340" s="45"/>
      <c r="M340" s="45"/>
      <c r="N340" s="45"/>
      <c r="O340" s="45"/>
      <c r="P340" s="50"/>
    </row>
    <row r="341">
      <c r="A341" s="51"/>
      <c r="D341" s="51"/>
      <c r="G341" s="51"/>
    </row>
    <row r="342">
      <c r="A342" s="51"/>
    </row>
    <row r="343">
      <c r="A343" s="51"/>
      <c r="D343" s="51"/>
    </row>
    <row r="344">
      <c r="A344" s="51"/>
    </row>
    <row r="345">
      <c r="A345" s="51"/>
      <c r="G345" s="51"/>
    </row>
    <row r="347">
      <c r="D347" s="51"/>
    </row>
    <row r="350">
      <c r="A350" s="6" t="s">
        <v>70</v>
      </c>
      <c r="B350" s="52"/>
      <c r="C350" s="8"/>
      <c r="D350" s="9" t="s">
        <v>71</v>
      </c>
      <c r="E350" s="10"/>
      <c r="F350" s="10"/>
      <c r="G350" s="10"/>
      <c r="H350" s="10"/>
      <c r="I350" s="10"/>
      <c r="J350" s="10"/>
      <c r="K350" s="9"/>
      <c r="L350" s="10"/>
      <c r="M350" s="10"/>
      <c r="N350" s="10"/>
      <c r="O350" s="10"/>
      <c r="P350" s="11"/>
    </row>
    <row r="351">
      <c r="A351" s="12" t="s">
        <v>72</v>
      </c>
      <c r="B351" s="13">
        <v>1000000.0</v>
      </c>
      <c r="C351" s="14"/>
      <c r="D351" s="53" t="str">
        <f>B350</f>
        <v/>
      </c>
      <c r="E351" s="16" t="s">
        <v>73</v>
      </c>
      <c r="F351" s="17"/>
      <c r="G351" s="16" t="s">
        <v>74</v>
      </c>
      <c r="H351" s="16" t="s">
        <v>75</v>
      </c>
      <c r="I351" s="16" t="s">
        <v>76</v>
      </c>
      <c r="J351" s="18" t="s">
        <v>77</v>
      </c>
      <c r="P351" s="19"/>
    </row>
    <row r="352">
      <c r="A352" s="12" t="s">
        <v>78</v>
      </c>
      <c r="B352" s="13">
        <v>1000000.0</v>
      </c>
      <c r="C352" s="14"/>
      <c r="D352" s="20" t="s">
        <v>72</v>
      </c>
      <c r="E352" s="21">
        <f t="shared" ref="E352:E353" si="57">B351</f>
        <v>1000000</v>
      </c>
      <c r="F352" s="20" t="s">
        <v>79</v>
      </c>
      <c r="G352" s="21">
        <f t="shared" ref="G352:G353" si="58">B354</f>
        <v>4</v>
      </c>
      <c r="H352" s="4">
        <f>G352+(G353/60)</f>
        <v>4.166666667</v>
      </c>
      <c r="I352" s="21">
        <f>B359</f>
        <v>6</v>
      </c>
      <c r="J352" s="22" t="s">
        <v>80</v>
      </c>
      <c r="K352" s="23">
        <f>B361/B362</f>
        <v>0</v>
      </c>
      <c r="P352" s="19"/>
    </row>
    <row r="353">
      <c r="A353" s="12" t="s">
        <v>81</v>
      </c>
      <c r="B353" s="14"/>
      <c r="C353" s="14"/>
      <c r="D353" s="20" t="s">
        <v>78</v>
      </c>
      <c r="E353" s="21">
        <f t="shared" si="57"/>
        <v>1000000</v>
      </c>
      <c r="F353" s="20" t="s">
        <v>82</v>
      </c>
      <c r="G353" s="21">
        <f t="shared" si="58"/>
        <v>10</v>
      </c>
      <c r="J353" s="22" t="s">
        <v>83</v>
      </c>
      <c r="K353" s="23">
        <f>B363/B364</f>
        <v>0</v>
      </c>
      <c r="P353" s="19"/>
    </row>
    <row r="354">
      <c r="A354" s="24" t="s">
        <v>79</v>
      </c>
      <c r="B354" s="13">
        <v>4.0</v>
      </c>
      <c r="C354" s="14"/>
      <c r="D354" s="20" t="s">
        <v>84</v>
      </c>
      <c r="E354" s="25">
        <f>E352-E353</f>
        <v>0</v>
      </c>
      <c r="F354" s="26"/>
      <c r="G354" s="16" t="s">
        <v>85</v>
      </c>
      <c r="H354" s="16" t="s">
        <v>86</v>
      </c>
      <c r="I354" s="16" t="s">
        <v>87</v>
      </c>
      <c r="J354" s="22" t="s">
        <v>88</v>
      </c>
      <c r="K354" s="23">
        <f>B365/B366</f>
        <v>0</v>
      </c>
      <c r="P354" s="19"/>
    </row>
    <row r="355">
      <c r="A355" s="24" t="s">
        <v>89</v>
      </c>
      <c r="B355" s="13">
        <v>10.0</v>
      </c>
      <c r="C355" s="14"/>
      <c r="D355" s="16" t="s">
        <v>90</v>
      </c>
      <c r="F355" s="20" t="s">
        <v>79</v>
      </c>
      <c r="G355" s="21">
        <f t="shared" ref="G355:G356" si="59">B357</f>
        <v>4</v>
      </c>
      <c r="H355" s="25">
        <f>G355+(G356/60)</f>
        <v>4.166666667</v>
      </c>
      <c r="I355" s="25">
        <f>H352-H355</f>
        <v>0</v>
      </c>
      <c r="J355" s="22" t="s">
        <v>91</v>
      </c>
      <c r="K355" s="23">
        <f>B367/B368</f>
        <v>0</v>
      </c>
      <c r="P355" s="19"/>
    </row>
    <row r="356">
      <c r="A356" s="12" t="s">
        <v>85</v>
      </c>
      <c r="B356" s="27"/>
      <c r="C356" s="14"/>
      <c r="D356" s="28" t="s">
        <v>92</v>
      </c>
      <c r="E356" s="25">
        <f>E352/H361</f>
        <v>218181.8182</v>
      </c>
      <c r="F356" s="20" t="s">
        <v>82</v>
      </c>
      <c r="G356" s="21">
        <f t="shared" si="59"/>
        <v>10</v>
      </c>
      <c r="J356" s="22" t="s">
        <v>93</v>
      </c>
      <c r="K356" s="23">
        <f>B369/B370</f>
        <v>0</v>
      </c>
      <c r="P356" s="19"/>
    </row>
    <row r="357">
      <c r="A357" s="24" t="s">
        <v>79</v>
      </c>
      <c r="B357" s="13">
        <v>4.0</v>
      </c>
      <c r="C357" s="14"/>
      <c r="D357" s="28" t="s">
        <v>94</v>
      </c>
      <c r="E357" s="25">
        <f>E352/I352</f>
        <v>166666.6667</v>
      </c>
      <c r="J357" s="22" t="s">
        <v>95</v>
      </c>
      <c r="K357" s="23">
        <f>B371/B372</f>
        <v>0</v>
      </c>
      <c r="P357" s="19"/>
    </row>
    <row r="358">
      <c r="A358" s="24" t="s">
        <v>89</v>
      </c>
      <c r="B358" s="13">
        <v>10.0</v>
      </c>
      <c r="C358" s="14"/>
      <c r="D358" s="28" t="s">
        <v>96</v>
      </c>
      <c r="E358" s="25">
        <f>E356/I352</f>
        <v>36363.63636</v>
      </c>
      <c r="J358" s="29" t="s">
        <v>97</v>
      </c>
      <c r="K358" s="30">
        <f>SUM(K352:K357)</f>
        <v>0</v>
      </c>
      <c r="P358" s="19"/>
    </row>
    <row r="359">
      <c r="A359" s="12" t="s">
        <v>98</v>
      </c>
      <c r="B359" s="13">
        <v>6.0</v>
      </c>
      <c r="C359" s="14"/>
      <c r="D359" s="28" t="s">
        <v>99</v>
      </c>
      <c r="E359" s="31">
        <f>E358/12</f>
        <v>3030.30303</v>
      </c>
      <c r="I359" s="29"/>
      <c r="J359" s="29" t="s">
        <v>100</v>
      </c>
      <c r="K359" s="30">
        <f>H369</f>
        <v>0</v>
      </c>
      <c r="P359" s="19"/>
    </row>
    <row r="360">
      <c r="A360" s="32"/>
      <c r="B360" s="14"/>
      <c r="C360" s="14"/>
      <c r="D360" s="28" t="s">
        <v>101</v>
      </c>
      <c r="E360" s="25">
        <f>E359*5</f>
        <v>15151.51515</v>
      </c>
      <c r="J360" s="29" t="s">
        <v>102</v>
      </c>
      <c r="K360" s="30">
        <f>E361</f>
        <v>18181.81818</v>
      </c>
      <c r="P360" s="19"/>
    </row>
    <row r="361">
      <c r="A361" s="33" t="s">
        <v>103</v>
      </c>
      <c r="B361" s="34">
        <v>0.0</v>
      </c>
      <c r="C361" s="14"/>
      <c r="D361" s="28" t="s">
        <v>104</v>
      </c>
      <c r="E361" s="25">
        <f>E359*6</f>
        <v>18181.81818</v>
      </c>
      <c r="G361" s="35" t="s">
        <v>105</v>
      </c>
      <c r="H361" s="36">
        <f>H352+(25/60)</f>
        <v>4.583333333</v>
      </c>
      <c r="J361" s="29" t="s">
        <v>106</v>
      </c>
      <c r="K361" s="30">
        <f>E369</f>
        <v>20000</v>
      </c>
      <c r="P361" s="19"/>
    </row>
    <row r="362">
      <c r="A362" s="37" t="s">
        <v>107</v>
      </c>
      <c r="B362" s="38">
        <v>1.0</v>
      </c>
      <c r="C362" s="14"/>
      <c r="G362" s="35" t="s">
        <v>108</v>
      </c>
      <c r="H362" s="36">
        <f>I355+(25/60)</f>
        <v>0.4166666667</v>
      </c>
      <c r="I362" s="39" t="s">
        <v>109</v>
      </c>
      <c r="P362" s="19"/>
    </row>
    <row r="363">
      <c r="A363" s="40" t="s">
        <v>110</v>
      </c>
      <c r="B363" s="13">
        <v>0.0</v>
      </c>
      <c r="C363" s="14"/>
      <c r="D363" s="16" t="s">
        <v>111</v>
      </c>
      <c r="G363" s="16" t="s">
        <v>112</v>
      </c>
      <c r="H363" s="36"/>
      <c r="I363" s="39" t="s">
        <v>113</v>
      </c>
      <c r="P363" s="19"/>
    </row>
    <row r="364">
      <c r="A364" s="37" t="s">
        <v>114</v>
      </c>
      <c r="B364" s="38">
        <v>1.0</v>
      </c>
      <c r="C364" s="14"/>
      <c r="D364" s="28" t="s">
        <v>92</v>
      </c>
      <c r="E364" s="25">
        <f>E353/H355</f>
        <v>240000</v>
      </c>
      <c r="G364" s="28" t="s">
        <v>92</v>
      </c>
      <c r="H364" s="36">
        <f>E354/H362</f>
        <v>0</v>
      </c>
      <c r="I364" s="39" t="s">
        <v>115</v>
      </c>
      <c r="P364" s="19"/>
    </row>
    <row r="365">
      <c r="A365" s="40" t="s">
        <v>116</v>
      </c>
      <c r="B365" s="13">
        <v>0.0</v>
      </c>
      <c r="C365" s="14"/>
      <c r="D365" s="28" t="s">
        <v>94</v>
      </c>
      <c r="E365" s="25">
        <f>E353/I352</f>
        <v>166666.6667</v>
      </c>
      <c r="G365" s="28" t="s">
        <v>94</v>
      </c>
      <c r="H365" s="36">
        <f>E354/I352</f>
        <v>0</v>
      </c>
      <c r="I365" s="39" t="s">
        <v>117</v>
      </c>
      <c r="P365" s="19"/>
    </row>
    <row r="366">
      <c r="A366" s="37" t="s">
        <v>118</v>
      </c>
      <c r="B366" s="38">
        <v>1.0</v>
      </c>
      <c r="C366" s="14"/>
      <c r="D366" s="28" t="s">
        <v>96</v>
      </c>
      <c r="E366" s="25">
        <f>E365/H355</f>
        <v>40000</v>
      </c>
      <c r="G366" s="28" t="s">
        <v>96</v>
      </c>
      <c r="H366" s="36">
        <f>H365/H362</f>
        <v>0</v>
      </c>
      <c r="P366" s="19"/>
    </row>
    <row r="367">
      <c r="A367" s="40" t="s">
        <v>119</v>
      </c>
      <c r="B367" s="13">
        <v>0.0</v>
      </c>
      <c r="C367" s="14"/>
      <c r="D367" s="28" t="s">
        <v>99</v>
      </c>
      <c r="E367" s="25">
        <f>E366/12</f>
        <v>3333.333333</v>
      </c>
      <c r="G367" s="28" t="s">
        <v>99</v>
      </c>
      <c r="H367" s="36">
        <f>H366/12</f>
        <v>0</v>
      </c>
      <c r="P367" s="19"/>
    </row>
    <row r="368">
      <c r="A368" s="37" t="s">
        <v>120</v>
      </c>
      <c r="B368" s="38">
        <v>1.0</v>
      </c>
      <c r="C368" s="14"/>
      <c r="D368" s="28" t="s">
        <v>101</v>
      </c>
      <c r="E368" s="25">
        <f>E367*5</f>
        <v>16666.66667</v>
      </c>
      <c r="G368" s="28" t="s">
        <v>101</v>
      </c>
      <c r="H368" s="36">
        <f>H367*5</f>
        <v>0</v>
      </c>
      <c r="P368" s="19"/>
    </row>
    <row r="369">
      <c r="A369" s="40" t="s">
        <v>121</v>
      </c>
      <c r="B369" s="13">
        <v>0.0</v>
      </c>
      <c r="C369" s="14"/>
      <c r="D369" s="28" t="s">
        <v>104</v>
      </c>
      <c r="E369" s="25">
        <f>E367*6</f>
        <v>20000</v>
      </c>
      <c r="G369" s="28" t="s">
        <v>104</v>
      </c>
      <c r="H369" s="36">
        <f>H367*6</f>
        <v>0</v>
      </c>
      <c r="P369" s="19"/>
    </row>
    <row r="370">
      <c r="A370" s="37" t="s">
        <v>122</v>
      </c>
      <c r="B370" s="38">
        <v>1.0</v>
      </c>
      <c r="C370" s="14"/>
      <c r="P370" s="19"/>
    </row>
    <row r="371">
      <c r="A371" s="40" t="s">
        <v>123</v>
      </c>
      <c r="B371" s="13">
        <v>0.0</v>
      </c>
      <c r="C371" s="14"/>
      <c r="D371" s="28" t="s">
        <v>124</v>
      </c>
      <c r="E371" s="41"/>
      <c r="F371" s="41"/>
      <c r="P371" s="19"/>
    </row>
    <row r="372">
      <c r="A372" s="37" t="s">
        <v>125</v>
      </c>
      <c r="B372" s="38">
        <v>1.0</v>
      </c>
      <c r="C372" s="14"/>
      <c r="D372" s="4" t="s">
        <v>126</v>
      </c>
      <c r="E372" s="25">
        <f t="shared" ref="E372:E375" si="60">H366-E366</f>
        <v>-40000</v>
      </c>
      <c r="P372" s="19"/>
    </row>
    <row r="373">
      <c r="A373" s="42" t="s">
        <v>127</v>
      </c>
      <c r="C373" s="14"/>
      <c r="D373" s="4" t="s">
        <v>128</v>
      </c>
      <c r="E373" s="25">
        <f t="shared" si="60"/>
        <v>-3333.333333</v>
      </c>
      <c r="P373" s="19"/>
    </row>
    <row r="374">
      <c r="A374" s="32"/>
      <c r="C374" s="14"/>
      <c r="D374" s="4" t="s">
        <v>129</v>
      </c>
      <c r="E374" s="25">
        <f t="shared" si="60"/>
        <v>-16666.66667</v>
      </c>
      <c r="G374" s="43"/>
      <c r="P374" s="19"/>
    </row>
    <row r="375">
      <c r="A375" s="32"/>
      <c r="C375" s="14"/>
      <c r="D375" s="4" t="s">
        <v>130</v>
      </c>
      <c r="E375" s="25">
        <f t="shared" si="60"/>
        <v>-20000</v>
      </c>
      <c r="P375" s="19"/>
    </row>
    <row r="376">
      <c r="A376" s="24"/>
      <c r="C376" s="14"/>
      <c r="D376" s="28" t="s">
        <v>131</v>
      </c>
      <c r="P376" s="19"/>
    </row>
    <row r="377">
      <c r="A377" s="32"/>
      <c r="C377" s="14"/>
      <c r="D377" s="4" t="s">
        <v>132</v>
      </c>
      <c r="E377" s="25">
        <f t="shared" ref="E377:E380" si="61">H366-E358</f>
        <v>-36363.63636</v>
      </c>
      <c r="P377" s="19"/>
    </row>
    <row r="378">
      <c r="A378" s="32"/>
      <c r="C378" s="14"/>
      <c r="D378" s="4" t="s">
        <v>133</v>
      </c>
      <c r="E378" s="25">
        <f t="shared" si="61"/>
        <v>-3030.30303</v>
      </c>
      <c r="G378" s="28" t="s">
        <v>134</v>
      </c>
      <c r="I378" s="35" t="s">
        <v>135</v>
      </c>
      <c r="J378" s="35" t="s">
        <v>82</v>
      </c>
      <c r="P378" s="19"/>
    </row>
    <row r="379">
      <c r="A379" s="32"/>
      <c r="C379" s="14"/>
      <c r="D379" s="4" t="s">
        <v>136</v>
      </c>
      <c r="E379" s="25">
        <f t="shared" si="61"/>
        <v>-15151.51515</v>
      </c>
      <c r="G379" s="35" t="s">
        <v>137</v>
      </c>
      <c r="H379" s="25" t="str">
        <f>(E352/H364)-(25/60)</f>
        <v>#DIV/0!</v>
      </c>
      <c r="I379" s="25" t="str">
        <f t="shared" ref="I379:I380" si="62">INT(H379)</f>
        <v>#DIV/0!</v>
      </c>
      <c r="J379" s="36" t="str">
        <f t="shared" ref="J379:J380" si="63">INT((H379-I379)*60)</f>
        <v>#DIV/0!</v>
      </c>
      <c r="P379" s="19"/>
    </row>
    <row r="380">
      <c r="A380" s="44"/>
      <c r="B380" s="45"/>
      <c r="C380" s="46"/>
      <c r="D380" s="47" t="s">
        <v>138</v>
      </c>
      <c r="E380" s="45">
        <f t="shared" si="61"/>
        <v>-18181.81818</v>
      </c>
      <c r="F380" s="45"/>
      <c r="G380" s="48" t="s">
        <v>139</v>
      </c>
      <c r="H380" s="45" t="str">
        <f>H352-H379</f>
        <v>#DIV/0!</v>
      </c>
      <c r="I380" s="45" t="str">
        <f t="shared" si="62"/>
        <v>#DIV/0!</v>
      </c>
      <c r="J380" s="49" t="str">
        <f t="shared" si="63"/>
        <v>#DIV/0!</v>
      </c>
      <c r="K380" s="45"/>
      <c r="L380" s="45"/>
      <c r="M380" s="45"/>
      <c r="N380" s="45"/>
      <c r="O380" s="45"/>
      <c r="P380" s="50"/>
    </row>
    <row r="381">
      <c r="A381" s="51"/>
      <c r="B381" s="51"/>
      <c r="D381" s="51"/>
    </row>
    <row r="382">
      <c r="D382" s="51"/>
      <c r="I382" s="51"/>
    </row>
    <row r="383">
      <c r="D383" s="51"/>
      <c r="I383" s="51"/>
    </row>
    <row r="384">
      <c r="A384" s="51"/>
      <c r="D384" s="51"/>
      <c r="G384" s="51"/>
    </row>
    <row r="385">
      <c r="A385" s="51"/>
      <c r="G385" s="51"/>
    </row>
    <row r="386">
      <c r="A386" s="51"/>
      <c r="D386" s="51"/>
      <c r="G386" s="51"/>
    </row>
    <row r="387">
      <c r="A387" s="51"/>
      <c r="D387" s="51"/>
      <c r="G387" s="51"/>
    </row>
    <row r="388">
      <c r="A388" s="51"/>
      <c r="D388" s="51"/>
      <c r="G388" s="51"/>
    </row>
    <row r="389">
      <c r="A389" s="51"/>
      <c r="D389" s="51"/>
      <c r="G389" s="51"/>
    </row>
    <row r="390">
      <c r="A390" s="6" t="s">
        <v>70</v>
      </c>
      <c r="B390" s="52"/>
      <c r="C390" s="8"/>
      <c r="D390" s="9" t="s">
        <v>71</v>
      </c>
      <c r="E390" s="10"/>
      <c r="F390" s="10"/>
      <c r="G390" s="10"/>
      <c r="H390" s="10"/>
      <c r="I390" s="10"/>
      <c r="J390" s="10"/>
      <c r="K390" s="9"/>
      <c r="L390" s="10"/>
      <c r="M390" s="10"/>
      <c r="N390" s="10"/>
      <c r="O390" s="10"/>
      <c r="P390" s="11"/>
    </row>
    <row r="391">
      <c r="A391" s="12" t="s">
        <v>72</v>
      </c>
      <c r="B391" s="13">
        <v>1000000.0</v>
      </c>
      <c r="C391" s="14"/>
      <c r="D391" s="53" t="str">
        <f>B390</f>
        <v/>
      </c>
      <c r="E391" s="16" t="s">
        <v>73</v>
      </c>
      <c r="F391" s="17"/>
      <c r="G391" s="16" t="s">
        <v>74</v>
      </c>
      <c r="H391" s="16" t="s">
        <v>75</v>
      </c>
      <c r="I391" s="16" t="s">
        <v>76</v>
      </c>
      <c r="J391" s="18" t="s">
        <v>77</v>
      </c>
      <c r="P391" s="19"/>
    </row>
    <row r="392">
      <c r="A392" s="12" t="s">
        <v>78</v>
      </c>
      <c r="B392" s="13">
        <v>1000000.0</v>
      </c>
      <c r="C392" s="14"/>
      <c r="D392" s="20" t="s">
        <v>72</v>
      </c>
      <c r="E392" s="21">
        <f t="shared" ref="E392:E393" si="64">B391</f>
        <v>1000000</v>
      </c>
      <c r="F392" s="20" t="s">
        <v>79</v>
      </c>
      <c r="G392" s="21">
        <f t="shared" ref="G392:G393" si="65">B394</f>
        <v>4</v>
      </c>
      <c r="H392" s="4">
        <f>G392+(G393/60)</f>
        <v>4.166666667</v>
      </c>
      <c r="I392" s="21">
        <f>B399</f>
        <v>6</v>
      </c>
      <c r="J392" s="22" t="s">
        <v>80</v>
      </c>
      <c r="K392" s="23">
        <f>B401/B402</f>
        <v>0</v>
      </c>
      <c r="P392" s="19"/>
    </row>
    <row r="393">
      <c r="A393" s="12" t="s">
        <v>81</v>
      </c>
      <c r="B393" s="14"/>
      <c r="C393" s="14"/>
      <c r="D393" s="20" t="s">
        <v>78</v>
      </c>
      <c r="E393" s="21">
        <f t="shared" si="64"/>
        <v>1000000</v>
      </c>
      <c r="F393" s="20" t="s">
        <v>82</v>
      </c>
      <c r="G393" s="21">
        <f t="shared" si="65"/>
        <v>10</v>
      </c>
      <c r="J393" s="22" t="s">
        <v>83</v>
      </c>
      <c r="K393" s="23">
        <f>B403/B404</f>
        <v>0</v>
      </c>
      <c r="P393" s="19"/>
    </row>
    <row r="394">
      <c r="A394" s="24" t="s">
        <v>79</v>
      </c>
      <c r="B394" s="13">
        <v>4.0</v>
      </c>
      <c r="C394" s="14"/>
      <c r="D394" s="20" t="s">
        <v>84</v>
      </c>
      <c r="E394" s="25">
        <f>E392-E393</f>
        <v>0</v>
      </c>
      <c r="F394" s="26"/>
      <c r="G394" s="16" t="s">
        <v>85</v>
      </c>
      <c r="H394" s="16" t="s">
        <v>86</v>
      </c>
      <c r="I394" s="16" t="s">
        <v>87</v>
      </c>
      <c r="J394" s="22" t="s">
        <v>88</v>
      </c>
      <c r="K394" s="23">
        <f>B405/B406</f>
        <v>0</v>
      </c>
      <c r="P394" s="19"/>
    </row>
    <row r="395">
      <c r="A395" s="24" t="s">
        <v>89</v>
      </c>
      <c r="B395" s="13">
        <v>10.0</v>
      </c>
      <c r="C395" s="14"/>
      <c r="D395" s="16" t="s">
        <v>90</v>
      </c>
      <c r="F395" s="20" t="s">
        <v>79</v>
      </c>
      <c r="G395" s="21">
        <f t="shared" ref="G395:G396" si="66">B397</f>
        <v>4</v>
      </c>
      <c r="H395" s="25">
        <f>G395+(G396/60)</f>
        <v>4.166666667</v>
      </c>
      <c r="I395" s="25">
        <f>H392-H395</f>
        <v>0</v>
      </c>
      <c r="J395" s="22" t="s">
        <v>91</v>
      </c>
      <c r="K395" s="23">
        <f>B407/B408</f>
        <v>0</v>
      </c>
      <c r="P395" s="19"/>
    </row>
    <row r="396">
      <c r="A396" s="12" t="s">
        <v>85</v>
      </c>
      <c r="B396" s="27"/>
      <c r="C396" s="14"/>
      <c r="D396" s="28" t="s">
        <v>92</v>
      </c>
      <c r="E396" s="25">
        <f>E392/H401</f>
        <v>218181.8182</v>
      </c>
      <c r="F396" s="20" t="s">
        <v>82</v>
      </c>
      <c r="G396" s="21">
        <f t="shared" si="66"/>
        <v>10</v>
      </c>
      <c r="J396" s="22" t="s">
        <v>93</v>
      </c>
      <c r="K396" s="23">
        <f>B409/B410</f>
        <v>0</v>
      </c>
      <c r="P396" s="19"/>
    </row>
    <row r="397">
      <c r="A397" s="24" t="s">
        <v>79</v>
      </c>
      <c r="B397" s="13">
        <v>4.0</v>
      </c>
      <c r="C397" s="14"/>
      <c r="D397" s="28" t="s">
        <v>94</v>
      </c>
      <c r="E397" s="25">
        <f>E392/I392</f>
        <v>166666.6667</v>
      </c>
      <c r="J397" s="22" t="s">
        <v>95</v>
      </c>
      <c r="K397" s="23">
        <f>B411/B412</f>
        <v>0</v>
      </c>
      <c r="P397" s="19"/>
    </row>
    <row r="398">
      <c r="A398" s="24" t="s">
        <v>89</v>
      </c>
      <c r="B398" s="13">
        <v>10.0</v>
      </c>
      <c r="C398" s="14"/>
      <c r="D398" s="28" t="s">
        <v>96</v>
      </c>
      <c r="E398" s="25">
        <f>E396/I392</f>
        <v>36363.63636</v>
      </c>
      <c r="J398" s="29" t="s">
        <v>97</v>
      </c>
      <c r="K398" s="30">
        <f>SUM(K392:K397)</f>
        <v>0</v>
      </c>
      <c r="P398" s="19"/>
    </row>
    <row r="399">
      <c r="A399" s="12" t="s">
        <v>98</v>
      </c>
      <c r="B399" s="13">
        <v>6.0</v>
      </c>
      <c r="C399" s="14"/>
      <c r="D399" s="28" t="s">
        <v>99</v>
      </c>
      <c r="E399" s="31">
        <f>E398/12</f>
        <v>3030.30303</v>
      </c>
      <c r="I399" s="29"/>
      <c r="J399" s="29" t="s">
        <v>100</v>
      </c>
      <c r="K399" s="30">
        <f>H409</f>
        <v>0</v>
      </c>
      <c r="P399" s="19"/>
    </row>
    <row r="400">
      <c r="A400" s="32"/>
      <c r="B400" s="14"/>
      <c r="C400" s="14"/>
      <c r="D400" s="28" t="s">
        <v>101</v>
      </c>
      <c r="E400" s="25">
        <f>E399*5</f>
        <v>15151.51515</v>
      </c>
      <c r="J400" s="29" t="s">
        <v>102</v>
      </c>
      <c r="K400" s="30">
        <f>E401</f>
        <v>18181.81818</v>
      </c>
      <c r="P400" s="19"/>
    </row>
    <row r="401">
      <c r="A401" s="33" t="s">
        <v>103</v>
      </c>
      <c r="B401" s="34">
        <v>0.0</v>
      </c>
      <c r="C401" s="14"/>
      <c r="D401" s="28" t="s">
        <v>104</v>
      </c>
      <c r="E401" s="25">
        <f>E399*6</f>
        <v>18181.81818</v>
      </c>
      <c r="G401" s="35" t="s">
        <v>105</v>
      </c>
      <c r="H401" s="36">
        <f>H392+(25/60)</f>
        <v>4.583333333</v>
      </c>
      <c r="J401" s="29" t="s">
        <v>106</v>
      </c>
      <c r="K401" s="30">
        <f>E409</f>
        <v>20000</v>
      </c>
      <c r="P401" s="19"/>
    </row>
    <row r="402">
      <c r="A402" s="37" t="s">
        <v>107</v>
      </c>
      <c r="B402" s="38">
        <v>1.0</v>
      </c>
      <c r="C402" s="14"/>
      <c r="G402" s="35" t="s">
        <v>108</v>
      </c>
      <c r="H402" s="36">
        <f>I395+(25/60)</f>
        <v>0.4166666667</v>
      </c>
      <c r="I402" s="39" t="s">
        <v>109</v>
      </c>
      <c r="P402" s="19"/>
    </row>
    <row r="403">
      <c r="A403" s="40" t="s">
        <v>110</v>
      </c>
      <c r="B403" s="13">
        <v>0.0</v>
      </c>
      <c r="C403" s="14"/>
      <c r="D403" s="16" t="s">
        <v>111</v>
      </c>
      <c r="G403" s="16" t="s">
        <v>112</v>
      </c>
      <c r="H403" s="36"/>
      <c r="I403" s="39" t="s">
        <v>113</v>
      </c>
      <c r="P403" s="19"/>
    </row>
    <row r="404">
      <c r="A404" s="37" t="s">
        <v>114</v>
      </c>
      <c r="B404" s="38">
        <v>1.0</v>
      </c>
      <c r="C404" s="14"/>
      <c r="D404" s="28" t="s">
        <v>92</v>
      </c>
      <c r="E404" s="25">
        <f>E393/H395</f>
        <v>240000</v>
      </c>
      <c r="G404" s="28" t="s">
        <v>92</v>
      </c>
      <c r="H404" s="36">
        <f>E394/H402</f>
        <v>0</v>
      </c>
      <c r="I404" s="39" t="s">
        <v>115</v>
      </c>
      <c r="P404" s="19"/>
    </row>
    <row r="405">
      <c r="A405" s="40" t="s">
        <v>116</v>
      </c>
      <c r="B405" s="13">
        <v>0.0</v>
      </c>
      <c r="C405" s="14"/>
      <c r="D405" s="28" t="s">
        <v>94</v>
      </c>
      <c r="E405" s="25">
        <f>E393/I392</f>
        <v>166666.6667</v>
      </c>
      <c r="G405" s="28" t="s">
        <v>94</v>
      </c>
      <c r="H405" s="36">
        <f>E394/I392</f>
        <v>0</v>
      </c>
      <c r="I405" s="39" t="s">
        <v>117</v>
      </c>
      <c r="P405" s="19"/>
    </row>
    <row r="406">
      <c r="A406" s="37" t="s">
        <v>118</v>
      </c>
      <c r="B406" s="38">
        <v>1.0</v>
      </c>
      <c r="C406" s="14"/>
      <c r="D406" s="28" t="s">
        <v>96</v>
      </c>
      <c r="E406" s="25">
        <f>E405/H395</f>
        <v>40000</v>
      </c>
      <c r="G406" s="28" t="s">
        <v>96</v>
      </c>
      <c r="H406" s="36">
        <f>H405/H402</f>
        <v>0</v>
      </c>
      <c r="P406" s="19"/>
    </row>
    <row r="407">
      <c r="A407" s="40" t="s">
        <v>119</v>
      </c>
      <c r="B407" s="13">
        <v>0.0</v>
      </c>
      <c r="C407" s="14"/>
      <c r="D407" s="28" t="s">
        <v>99</v>
      </c>
      <c r="E407" s="25">
        <f>E406/12</f>
        <v>3333.333333</v>
      </c>
      <c r="G407" s="28" t="s">
        <v>99</v>
      </c>
      <c r="H407" s="36">
        <f>H406/12</f>
        <v>0</v>
      </c>
      <c r="P407" s="19"/>
    </row>
    <row r="408">
      <c r="A408" s="37" t="s">
        <v>120</v>
      </c>
      <c r="B408" s="38">
        <v>1.0</v>
      </c>
      <c r="C408" s="14"/>
      <c r="D408" s="28" t="s">
        <v>101</v>
      </c>
      <c r="E408" s="25">
        <f>E407*5</f>
        <v>16666.66667</v>
      </c>
      <c r="G408" s="28" t="s">
        <v>101</v>
      </c>
      <c r="H408" s="36">
        <f>H407*5</f>
        <v>0</v>
      </c>
      <c r="P408" s="19"/>
    </row>
    <row r="409">
      <c r="A409" s="40" t="s">
        <v>121</v>
      </c>
      <c r="B409" s="13">
        <v>0.0</v>
      </c>
      <c r="C409" s="14"/>
      <c r="D409" s="28" t="s">
        <v>104</v>
      </c>
      <c r="E409" s="25">
        <f>E407*6</f>
        <v>20000</v>
      </c>
      <c r="G409" s="28" t="s">
        <v>104</v>
      </c>
      <c r="H409" s="36">
        <f>H407*6</f>
        <v>0</v>
      </c>
      <c r="P409" s="19"/>
    </row>
    <row r="410">
      <c r="A410" s="37" t="s">
        <v>122</v>
      </c>
      <c r="B410" s="38">
        <v>1.0</v>
      </c>
      <c r="C410" s="14"/>
      <c r="P410" s="19"/>
    </row>
    <row r="411">
      <c r="A411" s="40" t="s">
        <v>123</v>
      </c>
      <c r="B411" s="13">
        <v>0.0</v>
      </c>
      <c r="C411" s="14"/>
      <c r="D411" s="28" t="s">
        <v>124</v>
      </c>
      <c r="E411" s="41"/>
      <c r="F411" s="41"/>
      <c r="P411" s="19"/>
    </row>
    <row r="412">
      <c r="A412" s="37" t="s">
        <v>125</v>
      </c>
      <c r="B412" s="38">
        <v>1.0</v>
      </c>
      <c r="C412" s="14"/>
      <c r="D412" s="4" t="s">
        <v>126</v>
      </c>
      <c r="E412" s="25">
        <f t="shared" ref="E412:E415" si="67">H406-E406</f>
        <v>-40000</v>
      </c>
      <c r="P412" s="19"/>
    </row>
    <row r="413">
      <c r="A413" s="42" t="s">
        <v>127</v>
      </c>
      <c r="C413" s="14"/>
      <c r="D413" s="4" t="s">
        <v>128</v>
      </c>
      <c r="E413" s="25">
        <f t="shared" si="67"/>
        <v>-3333.333333</v>
      </c>
      <c r="P413" s="19"/>
    </row>
    <row r="414">
      <c r="A414" s="32"/>
      <c r="C414" s="14"/>
      <c r="D414" s="4" t="s">
        <v>129</v>
      </c>
      <c r="E414" s="25">
        <f t="shared" si="67"/>
        <v>-16666.66667</v>
      </c>
      <c r="G414" s="43"/>
      <c r="P414" s="19"/>
    </row>
    <row r="415">
      <c r="A415" s="32"/>
      <c r="C415" s="14"/>
      <c r="D415" s="4" t="s">
        <v>130</v>
      </c>
      <c r="E415" s="25">
        <f t="shared" si="67"/>
        <v>-20000</v>
      </c>
      <c r="P415" s="19"/>
    </row>
    <row r="416">
      <c r="A416" s="24"/>
      <c r="C416" s="14"/>
      <c r="D416" s="28" t="s">
        <v>131</v>
      </c>
      <c r="P416" s="19"/>
    </row>
    <row r="417">
      <c r="A417" s="32"/>
      <c r="C417" s="14"/>
      <c r="D417" s="4" t="s">
        <v>132</v>
      </c>
      <c r="E417" s="25">
        <f t="shared" ref="E417:E420" si="68">H406-E398</f>
        <v>-36363.63636</v>
      </c>
      <c r="P417" s="19"/>
    </row>
    <row r="418">
      <c r="A418" s="32"/>
      <c r="C418" s="14"/>
      <c r="D418" s="4" t="s">
        <v>133</v>
      </c>
      <c r="E418" s="25">
        <f t="shared" si="68"/>
        <v>-3030.30303</v>
      </c>
      <c r="G418" s="28" t="s">
        <v>134</v>
      </c>
      <c r="I418" s="35" t="s">
        <v>135</v>
      </c>
      <c r="J418" s="35" t="s">
        <v>82</v>
      </c>
      <c r="P418" s="19"/>
    </row>
    <row r="419">
      <c r="A419" s="32"/>
      <c r="C419" s="14"/>
      <c r="D419" s="4" t="s">
        <v>136</v>
      </c>
      <c r="E419" s="25">
        <f t="shared" si="68"/>
        <v>-15151.51515</v>
      </c>
      <c r="G419" s="35" t="s">
        <v>137</v>
      </c>
      <c r="H419" s="25" t="str">
        <f>(E392/H404)-(25/60)</f>
        <v>#DIV/0!</v>
      </c>
      <c r="I419" s="25" t="str">
        <f t="shared" ref="I419:I420" si="69">INT(H419)</f>
        <v>#DIV/0!</v>
      </c>
      <c r="J419" s="36" t="str">
        <f t="shared" ref="J419:J420" si="70">INT((H419-I419)*60)</f>
        <v>#DIV/0!</v>
      </c>
      <c r="P419" s="19"/>
    </row>
    <row r="420">
      <c r="A420" s="44"/>
      <c r="B420" s="45"/>
      <c r="C420" s="46"/>
      <c r="D420" s="47" t="s">
        <v>138</v>
      </c>
      <c r="E420" s="45">
        <f t="shared" si="68"/>
        <v>-18181.81818</v>
      </c>
      <c r="F420" s="45"/>
      <c r="G420" s="48" t="s">
        <v>139</v>
      </c>
      <c r="H420" s="45" t="str">
        <f>H392-H419</f>
        <v>#DIV/0!</v>
      </c>
      <c r="I420" s="45" t="str">
        <f t="shared" si="69"/>
        <v>#DIV/0!</v>
      </c>
      <c r="J420" s="49" t="str">
        <f t="shared" si="70"/>
        <v>#DIV/0!</v>
      </c>
      <c r="K420" s="45"/>
      <c r="L420" s="45"/>
      <c r="M420" s="45"/>
      <c r="N420" s="45"/>
      <c r="O420" s="45"/>
      <c r="P420" s="50"/>
    </row>
    <row r="421">
      <c r="A421" s="51"/>
      <c r="B421" s="51"/>
      <c r="D421" s="51"/>
    </row>
    <row r="422">
      <c r="D422" s="51"/>
      <c r="I422" s="51"/>
    </row>
    <row r="423">
      <c r="D423" s="51"/>
      <c r="I423" s="51"/>
    </row>
    <row r="424">
      <c r="D424" s="51"/>
      <c r="G424" s="51"/>
    </row>
    <row r="425">
      <c r="G425" s="51"/>
    </row>
    <row r="426">
      <c r="D426" s="51"/>
      <c r="G426" s="51"/>
    </row>
    <row r="427">
      <c r="D427" s="51"/>
      <c r="G427" s="51"/>
    </row>
    <row r="428">
      <c r="D428" s="51"/>
      <c r="G428" s="51"/>
    </row>
    <row r="429">
      <c r="D429" s="51"/>
      <c r="G429" s="51"/>
    </row>
    <row r="430">
      <c r="A430" s="6" t="s">
        <v>70</v>
      </c>
      <c r="B430" s="52"/>
      <c r="C430" s="8"/>
      <c r="D430" s="9" t="s">
        <v>71</v>
      </c>
      <c r="E430" s="10"/>
      <c r="F430" s="10"/>
      <c r="G430" s="10"/>
      <c r="H430" s="10"/>
      <c r="I430" s="10"/>
      <c r="J430" s="10"/>
      <c r="K430" s="9"/>
      <c r="L430" s="10"/>
      <c r="M430" s="10"/>
      <c r="N430" s="10"/>
      <c r="O430" s="10"/>
      <c r="P430" s="11"/>
    </row>
    <row r="431">
      <c r="A431" s="12" t="s">
        <v>72</v>
      </c>
      <c r="B431" s="13">
        <v>1000000.0</v>
      </c>
      <c r="C431" s="14"/>
      <c r="D431" s="53" t="str">
        <f>B430</f>
        <v/>
      </c>
      <c r="E431" s="16" t="s">
        <v>73</v>
      </c>
      <c r="F431" s="17"/>
      <c r="G431" s="16" t="s">
        <v>74</v>
      </c>
      <c r="H431" s="16" t="s">
        <v>75</v>
      </c>
      <c r="I431" s="16" t="s">
        <v>76</v>
      </c>
      <c r="J431" s="18" t="s">
        <v>77</v>
      </c>
      <c r="P431" s="19"/>
    </row>
    <row r="432">
      <c r="A432" s="12" t="s">
        <v>78</v>
      </c>
      <c r="B432" s="13">
        <v>1000000.0</v>
      </c>
      <c r="C432" s="14"/>
      <c r="D432" s="20" t="s">
        <v>72</v>
      </c>
      <c r="E432" s="21">
        <f t="shared" ref="E432:E433" si="71">B431</f>
        <v>1000000</v>
      </c>
      <c r="F432" s="20" t="s">
        <v>79</v>
      </c>
      <c r="G432" s="21">
        <f t="shared" ref="G432:G433" si="72">B434</f>
        <v>4</v>
      </c>
      <c r="H432" s="4">
        <f>G432+(G433/60)</f>
        <v>4.166666667</v>
      </c>
      <c r="I432" s="21">
        <f>B439</f>
        <v>6</v>
      </c>
      <c r="J432" s="22" t="s">
        <v>80</v>
      </c>
      <c r="K432" s="23">
        <f>B441/B442</f>
        <v>0</v>
      </c>
      <c r="P432" s="19"/>
    </row>
    <row r="433">
      <c r="A433" s="12" t="s">
        <v>81</v>
      </c>
      <c r="B433" s="14"/>
      <c r="C433" s="14"/>
      <c r="D433" s="20" t="s">
        <v>78</v>
      </c>
      <c r="E433" s="21">
        <f t="shared" si="71"/>
        <v>1000000</v>
      </c>
      <c r="F433" s="20" t="s">
        <v>82</v>
      </c>
      <c r="G433" s="21">
        <f t="shared" si="72"/>
        <v>10</v>
      </c>
      <c r="J433" s="22" t="s">
        <v>83</v>
      </c>
      <c r="K433" s="23">
        <f>B443/B444</f>
        <v>0</v>
      </c>
      <c r="P433" s="19"/>
    </row>
    <row r="434">
      <c r="A434" s="24" t="s">
        <v>79</v>
      </c>
      <c r="B434" s="13">
        <v>4.0</v>
      </c>
      <c r="C434" s="14"/>
      <c r="D434" s="20" t="s">
        <v>84</v>
      </c>
      <c r="E434" s="25">
        <f>E432-E433</f>
        <v>0</v>
      </c>
      <c r="F434" s="26"/>
      <c r="G434" s="16" t="s">
        <v>85</v>
      </c>
      <c r="H434" s="16" t="s">
        <v>86</v>
      </c>
      <c r="I434" s="16" t="s">
        <v>87</v>
      </c>
      <c r="J434" s="22" t="s">
        <v>88</v>
      </c>
      <c r="K434" s="23">
        <f>B445/B446</f>
        <v>0</v>
      </c>
      <c r="P434" s="19"/>
    </row>
    <row r="435">
      <c r="A435" s="24" t="s">
        <v>89</v>
      </c>
      <c r="B435" s="13">
        <v>10.0</v>
      </c>
      <c r="C435" s="14"/>
      <c r="D435" s="16" t="s">
        <v>90</v>
      </c>
      <c r="F435" s="20" t="s">
        <v>79</v>
      </c>
      <c r="G435" s="21">
        <f t="shared" ref="G435:G436" si="73">B437</f>
        <v>4</v>
      </c>
      <c r="H435" s="25">
        <f>G435+(G436/60)</f>
        <v>4.166666667</v>
      </c>
      <c r="I435" s="25">
        <f>H432-H435</f>
        <v>0</v>
      </c>
      <c r="J435" s="22" t="s">
        <v>91</v>
      </c>
      <c r="K435" s="23">
        <f>B447/B448</f>
        <v>0</v>
      </c>
      <c r="P435" s="19"/>
    </row>
    <row r="436">
      <c r="A436" s="12" t="s">
        <v>85</v>
      </c>
      <c r="B436" s="27"/>
      <c r="C436" s="14"/>
      <c r="D436" s="28" t="s">
        <v>92</v>
      </c>
      <c r="E436" s="25">
        <f>E432/H441</f>
        <v>218181.8182</v>
      </c>
      <c r="F436" s="20" t="s">
        <v>82</v>
      </c>
      <c r="G436" s="21">
        <f t="shared" si="73"/>
        <v>10</v>
      </c>
      <c r="J436" s="22" t="s">
        <v>93</v>
      </c>
      <c r="K436" s="23">
        <f>B449/B450</f>
        <v>0</v>
      </c>
      <c r="P436" s="19"/>
    </row>
    <row r="437">
      <c r="A437" s="24" t="s">
        <v>79</v>
      </c>
      <c r="B437" s="13">
        <v>4.0</v>
      </c>
      <c r="C437" s="14"/>
      <c r="D437" s="28" t="s">
        <v>94</v>
      </c>
      <c r="E437" s="25">
        <f>E432/I432</f>
        <v>166666.6667</v>
      </c>
      <c r="J437" s="22" t="s">
        <v>95</v>
      </c>
      <c r="K437" s="23">
        <f>B451/B452</f>
        <v>0</v>
      </c>
      <c r="P437" s="19"/>
    </row>
    <row r="438">
      <c r="A438" s="24" t="s">
        <v>89</v>
      </c>
      <c r="B438" s="13">
        <v>10.0</v>
      </c>
      <c r="C438" s="14"/>
      <c r="D438" s="28" t="s">
        <v>96</v>
      </c>
      <c r="E438" s="25">
        <f>E436/I432</f>
        <v>36363.63636</v>
      </c>
      <c r="J438" s="29" t="s">
        <v>97</v>
      </c>
      <c r="K438" s="30">
        <f>SUM(K432:K437)</f>
        <v>0</v>
      </c>
      <c r="P438" s="19"/>
    </row>
    <row r="439">
      <c r="A439" s="12" t="s">
        <v>98</v>
      </c>
      <c r="B439" s="13">
        <v>6.0</v>
      </c>
      <c r="C439" s="14"/>
      <c r="D439" s="28" t="s">
        <v>99</v>
      </c>
      <c r="E439" s="31">
        <f>E438/12</f>
        <v>3030.30303</v>
      </c>
      <c r="I439" s="29"/>
      <c r="J439" s="29" t="s">
        <v>100</v>
      </c>
      <c r="K439" s="30">
        <f>H449</f>
        <v>0</v>
      </c>
      <c r="P439" s="19"/>
    </row>
    <row r="440">
      <c r="A440" s="32"/>
      <c r="B440" s="14"/>
      <c r="C440" s="14"/>
      <c r="D440" s="28" t="s">
        <v>101</v>
      </c>
      <c r="E440" s="25">
        <f>E439*5</f>
        <v>15151.51515</v>
      </c>
      <c r="J440" s="29" t="s">
        <v>102</v>
      </c>
      <c r="K440" s="30">
        <f>E441</f>
        <v>18181.81818</v>
      </c>
      <c r="P440" s="19"/>
    </row>
    <row r="441">
      <c r="A441" s="33" t="s">
        <v>103</v>
      </c>
      <c r="B441" s="34">
        <v>0.0</v>
      </c>
      <c r="C441" s="14"/>
      <c r="D441" s="28" t="s">
        <v>104</v>
      </c>
      <c r="E441" s="25">
        <f>E439*6</f>
        <v>18181.81818</v>
      </c>
      <c r="G441" s="35" t="s">
        <v>105</v>
      </c>
      <c r="H441" s="36">
        <f>H432+(25/60)</f>
        <v>4.583333333</v>
      </c>
      <c r="J441" s="29" t="s">
        <v>106</v>
      </c>
      <c r="K441" s="30">
        <f>E449</f>
        <v>20000</v>
      </c>
      <c r="P441" s="19"/>
    </row>
    <row r="442">
      <c r="A442" s="37" t="s">
        <v>107</v>
      </c>
      <c r="B442" s="38">
        <v>1.0</v>
      </c>
      <c r="C442" s="14"/>
      <c r="G442" s="35" t="s">
        <v>108</v>
      </c>
      <c r="H442" s="36">
        <f>I435+(25/60)</f>
        <v>0.4166666667</v>
      </c>
      <c r="I442" s="39" t="s">
        <v>109</v>
      </c>
      <c r="P442" s="19"/>
    </row>
    <row r="443">
      <c r="A443" s="40" t="s">
        <v>110</v>
      </c>
      <c r="B443" s="13">
        <v>0.0</v>
      </c>
      <c r="C443" s="14"/>
      <c r="D443" s="16" t="s">
        <v>111</v>
      </c>
      <c r="G443" s="16" t="s">
        <v>112</v>
      </c>
      <c r="H443" s="36"/>
      <c r="I443" s="39" t="s">
        <v>113</v>
      </c>
      <c r="P443" s="19"/>
    </row>
    <row r="444">
      <c r="A444" s="37" t="s">
        <v>114</v>
      </c>
      <c r="B444" s="38">
        <v>1.0</v>
      </c>
      <c r="C444" s="14"/>
      <c r="D444" s="28" t="s">
        <v>92</v>
      </c>
      <c r="E444" s="25">
        <f>E433/H435</f>
        <v>240000</v>
      </c>
      <c r="G444" s="28" t="s">
        <v>92</v>
      </c>
      <c r="H444" s="36">
        <f>E434/H442</f>
        <v>0</v>
      </c>
      <c r="I444" s="39" t="s">
        <v>115</v>
      </c>
      <c r="P444" s="19"/>
    </row>
    <row r="445">
      <c r="A445" s="40" t="s">
        <v>116</v>
      </c>
      <c r="B445" s="13">
        <v>0.0</v>
      </c>
      <c r="C445" s="14"/>
      <c r="D445" s="28" t="s">
        <v>94</v>
      </c>
      <c r="E445" s="25">
        <f>E433/I432</f>
        <v>166666.6667</v>
      </c>
      <c r="G445" s="28" t="s">
        <v>94</v>
      </c>
      <c r="H445" s="36">
        <f>E434/I432</f>
        <v>0</v>
      </c>
      <c r="I445" s="39" t="s">
        <v>117</v>
      </c>
      <c r="P445" s="19"/>
    </row>
    <row r="446">
      <c r="A446" s="37" t="s">
        <v>118</v>
      </c>
      <c r="B446" s="38">
        <v>1.0</v>
      </c>
      <c r="C446" s="14"/>
      <c r="D446" s="28" t="s">
        <v>96</v>
      </c>
      <c r="E446" s="25">
        <f>E445/H435</f>
        <v>40000</v>
      </c>
      <c r="G446" s="28" t="s">
        <v>96</v>
      </c>
      <c r="H446" s="36">
        <f>H445/H442</f>
        <v>0</v>
      </c>
      <c r="P446" s="19"/>
    </row>
    <row r="447">
      <c r="A447" s="40" t="s">
        <v>119</v>
      </c>
      <c r="B447" s="13">
        <v>0.0</v>
      </c>
      <c r="C447" s="14"/>
      <c r="D447" s="28" t="s">
        <v>99</v>
      </c>
      <c r="E447" s="25">
        <f>E446/12</f>
        <v>3333.333333</v>
      </c>
      <c r="G447" s="28" t="s">
        <v>99</v>
      </c>
      <c r="H447" s="36">
        <f>H446/12</f>
        <v>0</v>
      </c>
      <c r="P447" s="19"/>
    </row>
    <row r="448">
      <c r="A448" s="37" t="s">
        <v>120</v>
      </c>
      <c r="B448" s="38">
        <v>1.0</v>
      </c>
      <c r="C448" s="14"/>
      <c r="D448" s="28" t="s">
        <v>101</v>
      </c>
      <c r="E448" s="25">
        <f>E447*5</f>
        <v>16666.66667</v>
      </c>
      <c r="G448" s="28" t="s">
        <v>101</v>
      </c>
      <c r="H448" s="36">
        <f>H447*5</f>
        <v>0</v>
      </c>
      <c r="P448" s="19"/>
    </row>
    <row r="449">
      <c r="A449" s="40" t="s">
        <v>121</v>
      </c>
      <c r="B449" s="13">
        <v>0.0</v>
      </c>
      <c r="C449" s="14"/>
      <c r="D449" s="28" t="s">
        <v>104</v>
      </c>
      <c r="E449" s="25">
        <f>E447*6</f>
        <v>20000</v>
      </c>
      <c r="G449" s="28" t="s">
        <v>104</v>
      </c>
      <c r="H449" s="36">
        <f>H447*6</f>
        <v>0</v>
      </c>
      <c r="P449" s="19"/>
    </row>
    <row r="450">
      <c r="A450" s="37" t="s">
        <v>122</v>
      </c>
      <c r="B450" s="38">
        <v>1.0</v>
      </c>
      <c r="C450" s="14"/>
      <c r="P450" s="19"/>
    </row>
    <row r="451">
      <c r="A451" s="40" t="s">
        <v>123</v>
      </c>
      <c r="B451" s="13">
        <v>0.0</v>
      </c>
      <c r="C451" s="14"/>
      <c r="D451" s="28" t="s">
        <v>124</v>
      </c>
      <c r="E451" s="41"/>
      <c r="F451" s="41"/>
      <c r="P451" s="19"/>
    </row>
    <row r="452">
      <c r="A452" s="37" t="s">
        <v>125</v>
      </c>
      <c r="B452" s="38">
        <v>1.0</v>
      </c>
      <c r="C452" s="14"/>
      <c r="D452" s="4" t="s">
        <v>126</v>
      </c>
      <c r="E452" s="25">
        <f t="shared" ref="E452:E455" si="74">H446-E446</f>
        <v>-40000</v>
      </c>
      <c r="P452" s="19"/>
    </row>
    <row r="453">
      <c r="A453" s="42" t="s">
        <v>127</v>
      </c>
      <c r="C453" s="14"/>
      <c r="D453" s="4" t="s">
        <v>128</v>
      </c>
      <c r="E453" s="25">
        <f t="shared" si="74"/>
        <v>-3333.333333</v>
      </c>
      <c r="P453" s="19"/>
    </row>
    <row r="454">
      <c r="A454" s="32"/>
      <c r="C454" s="14"/>
      <c r="D454" s="4" t="s">
        <v>129</v>
      </c>
      <c r="E454" s="25">
        <f t="shared" si="74"/>
        <v>-16666.66667</v>
      </c>
      <c r="G454" s="43"/>
      <c r="P454" s="19"/>
    </row>
    <row r="455">
      <c r="A455" s="32"/>
      <c r="C455" s="14"/>
      <c r="D455" s="4" t="s">
        <v>130</v>
      </c>
      <c r="E455" s="25">
        <f t="shared" si="74"/>
        <v>-20000</v>
      </c>
      <c r="P455" s="19"/>
    </row>
    <row r="456">
      <c r="A456" s="24"/>
      <c r="C456" s="14"/>
      <c r="D456" s="28" t="s">
        <v>131</v>
      </c>
      <c r="P456" s="19"/>
    </row>
    <row r="457">
      <c r="A457" s="32"/>
      <c r="C457" s="14"/>
      <c r="D457" s="4" t="s">
        <v>132</v>
      </c>
      <c r="E457" s="25">
        <f t="shared" ref="E457:E460" si="75">H446-E438</f>
        <v>-36363.63636</v>
      </c>
      <c r="P457" s="19"/>
    </row>
    <row r="458">
      <c r="A458" s="32"/>
      <c r="C458" s="14"/>
      <c r="D458" s="4" t="s">
        <v>133</v>
      </c>
      <c r="E458" s="25">
        <f t="shared" si="75"/>
        <v>-3030.30303</v>
      </c>
      <c r="G458" s="28" t="s">
        <v>134</v>
      </c>
      <c r="I458" s="35" t="s">
        <v>135</v>
      </c>
      <c r="J458" s="35" t="s">
        <v>82</v>
      </c>
      <c r="P458" s="19"/>
    </row>
    <row r="459">
      <c r="A459" s="32"/>
      <c r="C459" s="14"/>
      <c r="D459" s="4" t="s">
        <v>136</v>
      </c>
      <c r="E459" s="25">
        <f t="shared" si="75"/>
        <v>-15151.51515</v>
      </c>
      <c r="G459" s="35" t="s">
        <v>137</v>
      </c>
      <c r="H459" s="25" t="str">
        <f>(E432/H444)-(25/60)</f>
        <v>#DIV/0!</v>
      </c>
      <c r="I459" s="25" t="str">
        <f t="shared" ref="I459:I460" si="76">INT(H459)</f>
        <v>#DIV/0!</v>
      </c>
      <c r="J459" s="36" t="str">
        <f t="shared" ref="J459:J460" si="77">INT((H459-I459)*60)</f>
        <v>#DIV/0!</v>
      </c>
      <c r="P459" s="19"/>
    </row>
    <row r="460">
      <c r="A460" s="44"/>
      <c r="B460" s="45"/>
      <c r="C460" s="46"/>
      <c r="D460" s="47" t="s">
        <v>138</v>
      </c>
      <c r="E460" s="45">
        <f t="shared" si="75"/>
        <v>-18181.81818</v>
      </c>
      <c r="F460" s="45"/>
      <c r="G460" s="48" t="s">
        <v>139</v>
      </c>
      <c r="H460" s="45" t="str">
        <f>H432-H459</f>
        <v>#DIV/0!</v>
      </c>
      <c r="I460" s="45" t="str">
        <f t="shared" si="76"/>
        <v>#DIV/0!</v>
      </c>
      <c r="J460" s="49" t="str">
        <f t="shared" si="77"/>
        <v>#DIV/0!</v>
      </c>
      <c r="K460" s="45"/>
      <c r="L460" s="45"/>
      <c r="M460" s="45"/>
      <c r="N460" s="45"/>
      <c r="O460" s="45"/>
      <c r="P460" s="50"/>
    </row>
    <row r="461">
      <c r="A461" s="51"/>
      <c r="B461" s="51"/>
      <c r="D461" s="51"/>
    </row>
    <row r="462">
      <c r="D462" s="51"/>
      <c r="I462" s="51"/>
    </row>
    <row r="463">
      <c r="D463" s="51"/>
      <c r="I463" s="51"/>
    </row>
    <row r="464">
      <c r="A464" s="51"/>
      <c r="D464" s="51"/>
      <c r="G464" s="51"/>
    </row>
    <row r="465">
      <c r="A465" s="51"/>
      <c r="G465" s="51"/>
    </row>
    <row r="466">
      <c r="A466" s="51"/>
      <c r="D466" s="51"/>
      <c r="G466" s="51"/>
    </row>
    <row r="467">
      <c r="A467" s="51"/>
      <c r="D467" s="51"/>
      <c r="G467" s="51"/>
    </row>
    <row r="468">
      <c r="A468" s="51"/>
      <c r="D468" s="51"/>
      <c r="G468" s="51"/>
    </row>
    <row r="469">
      <c r="A469" s="51"/>
      <c r="D469" s="51"/>
      <c r="G469" s="51"/>
    </row>
    <row r="470">
      <c r="A470" s="6" t="s">
        <v>70</v>
      </c>
      <c r="B470" s="52"/>
      <c r="C470" s="8"/>
      <c r="D470" s="9" t="s">
        <v>71</v>
      </c>
      <c r="E470" s="10"/>
      <c r="F470" s="10"/>
      <c r="G470" s="10"/>
      <c r="H470" s="10"/>
      <c r="I470" s="10"/>
      <c r="J470" s="10"/>
      <c r="K470" s="9"/>
      <c r="L470" s="10"/>
      <c r="M470" s="10"/>
      <c r="N470" s="10"/>
      <c r="O470" s="10"/>
      <c r="P470" s="11"/>
    </row>
    <row r="471">
      <c r="A471" s="12" t="s">
        <v>72</v>
      </c>
      <c r="B471" s="13">
        <v>1000000.0</v>
      </c>
      <c r="C471" s="14"/>
      <c r="D471" s="53" t="str">
        <f>B470</f>
        <v/>
      </c>
      <c r="E471" s="16" t="s">
        <v>73</v>
      </c>
      <c r="F471" s="17"/>
      <c r="G471" s="16" t="s">
        <v>74</v>
      </c>
      <c r="H471" s="16" t="s">
        <v>75</v>
      </c>
      <c r="I471" s="16" t="s">
        <v>76</v>
      </c>
      <c r="J471" s="18" t="s">
        <v>77</v>
      </c>
      <c r="P471" s="19"/>
    </row>
    <row r="472">
      <c r="A472" s="12" t="s">
        <v>78</v>
      </c>
      <c r="B472" s="13">
        <v>1000000.0</v>
      </c>
      <c r="C472" s="14"/>
      <c r="D472" s="20" t="s">
        <v>72</v>
      </c>
      <c r="E472" s="21">
        <f t="shared" ref="E472:E473" si="78">B471</f>
        <v>1000000</v>
      </c>
      <c r="F472" s="20" t="s">
        <v>79</v>
      </c>
      <c r="G472" s="21">
        <f t="shared" ref="G472:G473" si="79">B474</f>
        <v>4</v>
      </c>
      <c r="H472" s="4">
        <f>G472+(G473/60)</f>
        <v>4.166666667</v>
      </c>
      <c r="I472" s="21">
        <f>B479</f>
        <v>6</v>
      </c>
      <c r="J472" s="22" t="s">
        <v>80</v>
      </c>
      <c r="K472" s="23">
        <f>B481/B482</f>
        <v>0</v>
      </c>
      <c r="P472" s="19"/>
    </row>
    <row r="473">
      <c r="A473" s="12" t="s">
        <v>81</v>
      </c>
      <c r="B473" s="14"/>
      <c r="C473" s="14"/>
      <c r="D473" s="20" t="s">
        <v>78</v>
      </c>
      <c r="E473" s="21">
        <f t="shared" si="78"/>
        <v>1000000</v>
      </c>
      <c r="F473" s="20" t="s">
        <v>82</v>
      </c>
      <c r="G473" s="21">
        <f t="shared" si="79"/>
        <v>10</v>
      </c>
      <c r="J473" s="22" t="s">
        <v>83</v>
      </c>
      <c r="K473" s="23">
        <f>B483/B484</f>
        <v>0</v>
      </c>
      <c r="P473" s="19"/>
    </row>
    <row r="474">
      <c r="A474" s="24" t="s">
        <v>79</v>
      </c>
      <c r="B474" s="13">
        <v>4.0</v>
      </c>
      <c r="C474" s="14"/>
      <c r="D474" s="20" t="s">
        <v>84</v>
      </c>
      <c r="E474" s="25">
        <f>E472-E473</f>
        <v>0</v>
      </c>
      <c r="F474" s="26"/>
      <c r="G474" s="16" t="s">
        <v>85</v>
      </c>
      <c r="H474" s="16" t="s">
        <v>86</v>
      </c>
      <c r="I474" s="16" t="s">
        <v>87</v>
      </c>
      <c r="J474" s="22" t="s">
        <v>88</v>
      </c>
      <c r="K474" s="23">
        <f>B485/B486</f>
        <v>0</v>
      </c>
      <c r="P474" s="19"/>
    </row>
    <row r="475">
      <c r="A475" s="24" t="s">
        <v>89</v>
      </c>
      <c r="B475" s="13">
        <v>10.0</v>
      </c>
      <c r="C475" s="14"/>
      <c r="D475" s="16" t="s">
        <v>90</v>
      </c>
      <c r="F475" s="20" t="s">
        <v>79</v>
      </c>
      <c r="G475" s="21">
        <f t="shared" ref="G475:G476" si="80">B477</f>
        <v>4</v>
      </c>
      <c r="H475" s="25">
        <f>G475+(G476/60)</f>
        <v>4.166666667</v>
      </c>
      <c r="I475" s="25">
        <f>H472-H475</f>
        <v>0</v>
      </c>
      <c r="J475" s="22" t="s">
        <v>91</v>
      </c>
      <c r="K475" s="23">
        <f>B487/B488</f>
        <v>0</v>
      </c>
      <c r="P475" s="19"/>
    </row>
    <row r="476">
      <c r="A476" s="12" t="s">
        <v>85</v>
      </c>
      <c r="B476" s="27"/>
      <c r="C476" s="14"/>
      <c r="D476" s="28" t="s">
        <v>92</v>
      </c>
      <c r="E476" s="25">
        <f>E472/H481</f>
        <v>218181.8182</v>
      </c>
      <c r="F476" s="20" t="s">
        <v>82</v>
      </c>
      <c r="G476" s="21">
        <f t="shared" si="80"/>
        <v>10</v>
      </c>
      <c r="J476" s="22" t="s">
        <v>93</v>
      </c>
      <c r="K476" s="23">
        <f>B489/B490</f>
        <v>0</v>
      </c>
      <c r="P476" s="19"/>
    </row>
    <row r="477">
      <c r="A477" s="24" t="s">
        <v>79</v>
      </c>
      <c r="B477" s="13">
        <v>4.0</v>
      </c>
      <c r="C477" s="14"/>
      <c r="D477" s="28" t="s">
        <v>94</v>
      </c>
      <c r="E477" s="25">
        <f>E472/I472</f>
        <v>166666.6667</v>
      </c>
      <c r="J477" s="22" t="s">
        <v>95</v>
      </c>
      <c r="K477" s="23">
        <f>B491/B492</f>
        <v>0</v>
      </c>
      <c r="P477" s="19"/>
    </row>
    <row r="478">
      <c r="A478" s="24" t="s">
        <v>89</v>
      </c>
      <c r="B478" s="13">
        <v>10.0</v>
      </c>
      <c r="C478" s="14"/>
      <c r="D478" s="28" t="s">
        <v>96</v>
      </c>
      <c r="E478" s="25">
        <f>E476/I472</f>
        <v>36363.63636</v>
      </c>
      <c r="J478" s="29" t="s">
        <v>97</v>
      </c>
      <c r="K478" s="30">
        <f>SUM(K472:K477)</f>
        <v>0</v>
      </c>
      <c r="P478" s="19"/>
    </row>
    <row r="479">
      <c r="A479" s="12" t="s">
        <v>98</v>
      </c>
      <c r="B479" s="13">
        <v>6.0</v>
      </c>
      <c r="C479" s="14"/>
      <c r="D479" s="28" t="s">
        <v>99</v>
      </c>
      <c r="E479" s="31">
        <f>E478/12</f>
        <v>3030.30303</v>
      </c>
      <c r="I479" s="29"/>
      <c r="J479" s="29" t="s">
        <v>100</v>
      </c>
      <c r="K479" s="30">
        <f>H489</f>
        <v>0</v>
      </c>
      <c r="P479" s="19"/>
    </row>
    <row r="480">
      <c r="A480" s="32"/>
      <c r="B480" s="14"/>
      <c r="C480" s="14"/>
      <c r="D480" s="28" t="s">
        <v>101</v>
      </c>
      <c r="E480" s="25">
        <f>E479*5</f>
        <v>15151.51515</v>
      </c>
      <c r="J480" s="29" t="s">
        <v>102</v>
      </c>
      <c r="K480" s="30">
        <f>E481</f>
        <v>18181.81818</v>
      </c>
      <c r="P480" s="19"/>
    </row>
    <row r="481">
      <c r="A481" s="33" t="s">
        <v>103</v>
      </c>
      <c r="B481" s="34">
        <v>0.0</v>
      </c>
      <c r="C481" s="14"/>
      <c r="D481" s="28" t="s">
        <v>104</v>
      </c>
      <c r="E481" s="25">
        <f>E479*6</f>
        <v>18181.81818</v>
      </c>
      <c r="G481" s="35" t="s">
        <v>105</v>
      </c>
      <c r="H481" s="36">
        <f>H472+(25/60)</f>
        <v>4.583333333</v>
      </c>
      <c r="J481" s="29" t="s">
        <v>106</v>
      </c>
      <c r="K481" s="30">
        <f>E489</f>
        <v>20000</v>
      </c>
      <c r="P481" s="19"/>
    </row>
    <row r="482">
      <c r="A482" s="37" t="s">
        <v>107</v>
      </c>
      <c r="B482" s="38">
        <v>1.0</v>
      </c>
      <c r="C482" s="14"/>
      <c r="G482" s="35" t="s">
        <v>108</v>
      </c>
      <c r="H482" s="36">
        <f>I475+(25/60)</f>
        <v>0.4166666667</v>
      </c>
      <c r="I482" s="39" t="s">
        <v>109</v>
      </c>
      <c r="P482" s="19"/>
    </row>
    <row r="483">
      <c r="A483" s="40" t="s">
        <v>110</v>
      </c>
      <c r="B483" s="13">
        <v>0.0</v>
      </c>
      <c r="C483" s="14"/>
      <c r="D483" s="16" t="s">
        <v>111</v>
      </c>
      <c r="G483" s="16" t="s">
        <v>112</v>
      </c>
      <c r="H483" s="36"/>
      <c r="I483" s="39" t="s">
        <v>113</v>
      </c>
      <c r="P483" s="19"/>
    </row>
    <row r="484">
      <c r="A484" s="37" t="s">
        <v>114</v>
      </c>
      <c r="B484" s="38">
        <v>1.0</v>
      </c>
      <c r="C484" s="14"/>
      <c r="D484" s="28" t="s">
        <v>92</v>
      </c>
      <c r="E484" s="25">
        <f>E473/H475</f>
        <v>240000</v>
      </c>
      <c r="G484" s="28" t="s">
        <v>92</v>
      </c>
      <c r="H484" s="36">
        <f>E474/H482</f>
        <v>0</v>
      </c>
      <c r="I484" s="39" t="s">
        <v>115</v>
      </c>
      <c r="P484" s="19"/>
    </row>
    <row r="485">
      <c r="A485" s="40" t="s">
        <v>116</v>
      </c>
      <c r="B485" s="13">
        <v>0.0</v>
      </c>
      <c r="C485" s="14"/>
      <c r="D485" s="28" t="s">
        <v>94</v>
      </c>
      <c r="E485" s="25">
        <f>E473/I472</f>
        <v>166666.6667</v>
      </c>
      <c r="G485" s="28" t="s">
        <v>94</v>
      </c>
      <c r="H485" s="36">
        <f>E474/I472</f>
        <v>0</v>
      </c>
      <c r="I485" s="39" t="s">
        <v>117</v>
      </c>
      <c r="P485" s="19"/>
    </row>
    <row r="486">
      <c r="A486" s="37" t="s">
        <v>118</v>
      </c>
      <c r="B486" s="38">
        <v>1.0</v>
      </c>
      <c r="C486" s="14"/>
      <c r="D486" s="28" t="s">
        <v>96</v>
      </c>
      <c r="E486" s="25">
        <f>E485/H475</f>
        <v>40000</v>
      </c>
      <c r="G486" s="28" t="s">
        <v>96</v>
      </c>
      <c r="H486" s="36">
        <f>H485/H482</f>
        <v>0</v>
      </c>
      <c r="P486" s="19"/>
    </row>
    <row r="487">
      <c r="A487" s="40" t="s">
        <v>119</v>
      </c>
      <c r="B487" s="13">
        <v>0.0</v>
      </c>
      <c r="C487" s="14"/>
      <c r="D487" s="28" t="s">
        <v>99</v>
      </c>
      <c r="E487" s="25">
        <f>E486/12</f>
        <v>3333.333333</v>
      </c>
      <c r="G487" s="28" t="s">
        <v>99</v>
      </c>
      <c r="H487" s="36">
        <f>H486/12</f>
        <v>0</v>
      </c>
      <c r="P487" s="19"/>
    </row>
    <row r="488">
      <c r="A488" s="37" t="s">
        <v>120</v>
      </c>
      <c r="B488" s="38">
        <v>1.0</v>
      </c>
      <c r="C488" s="14"/>
      <c r="D488" s="28" t="s">
        <v>101</v>
      </c>
      <c r="E488" s="25">
        <f>E487*5</f>
        <v>16666.66667</v>
      </c>
      <c r="G488" s="28" t="s">
        <v>101</v>
      </c>
      <c r="H488" s="36">
        <f>H487*5</f>
        <v>0</v>
      </c>
      <c r="P488" s="19"/>
    </row>
    <row r="489">
      <c r="A489" s="40" t="s">
        <v>121</v>
      </c>
      <c r="B489" s="13">
        <v>0.0</v>
      </c>
      <c r="C489" s="14"/>
      <c r="D489" s="28" t="s">
        <v>104</v>
      </c>
      <c r="E489" s="25">
        <f>E487*6</f>
        <v>20000</v>
      </c>
      <c r="G489" s="28" t="s">
        <v>104</v>
      </c>
      <c r="H489" s="36">
        <f>H487*6</f>
        <v>0</v>
      </c>
      <c r="P489" s="19"/>
    </row>
    <row r="490">
      <c r="A490" s="37" t="s">
        <v>122</v>
      </c>
      <c r="B490" s="38">
        <v>1.0</v>
      </c>
      <c r="C490" s="14"/>
      <c r="P490" s="19"/>
    </row>
    <row r="491">
      <c r="A491" s="40" t="s">
        <v>123</v>
      </c>
      <c r="B491" s="13">
        <v>0.0</v>
      </c>
      <c r="C491" s="14"/>
      <c r="D491" s="28" t="s">
        <v>124</v>
      </c>
      <c r="E491" s="41"/>
      <c r="F491" s="41"/>
      <c r="P491" s="19"/>
    </row>
    <row r="492">
      <c r="A492" s="37" t="s">
        <v>125</v>
      </c>
      <c r="B492" s="38">
        <v>1.0</v>
      </c>
      <c r="C492" s="14"/>
      <c r="D492" s="4" t="s">
        <v>126</v>
      </c>
      <c r="E492" s="25">
        <f t="shared" ref="E492:E495" si="81">H486-E486</f>
        <v>-40000</v>
      </c>
      <c r="P492" s="19"/>
    </row>
    <row r="493">
      <c r="A493" s="42" t="s">
        <v>127</v>
      </c>
      <c r="C493" s="14"/>
      <c r="D493" s="4" t="s">
        <v>128</v>
      </c>
      <c r="E493" s="25">
        <f t="shared" si="81"/>
        <v>-3333.333333</v>
      </c>
      <c r="P493" s="19"/>
    </row>
    <row r="494">
      <c r="A494" s="32"/>
      <c r="C494" s="14"/>
      <c r="D494" s="4" t="s">
        <v>129</v>
      </c>
      <c r="E494" s="25">
        <f t="shared" si="81"/>
        <v>-16666.66667</v>
      </c>
      <c r="G494" s="43"/>
      <c r="P494" s="19"/>
    </row>
    <row r="495">
      <c r="A495" s="32"/>
      <c r="C495" s="14"/>
      <c r="D495" s="4" t="s">
        <v>130</v>
      </c>
      <c r="E495" s="25">
        <f t="shared" si="81"/>
        <v>-20000</v>
      </c>
      <c r="P495" s="19"/>
    </row>
    <row r="496">
      <c r="A496" s="24"/>
      <c r="C496" s="14"/>
      <c r="D496" s="28" t="s">
        <v>131</v>
      </c>
      <c r="P496" s="19"/>
    </row>
    <row r="497">
      <c r="A497" s="32"/>
      <c r="C497" s="14"/>
      <c r="D497" s="4" t="s">
        <v>132</v>
      </c>
      <c r="E497" s="25">
        <f t="shared" ref="E497:E500" si="82">H486-E478</f>
        <v>-36363.63636</v>
      </c>
      <c r="P497" s="19"/>
    </row>
    <row r="498">
      <c r="A498" s="32"/>
      <c r="C498" s="14"/>
      <c r="D498" s="4" t="s">
        <v>133</v>
      </c>
      <c r="E498" s="25">
        <f t="shared" si="82"/>
        <v>-3030.30303</v>
      </c>
      <c r="G498" s="28" t="s">
        <v>134</v>
      </c>
      <c r="I498" s="35" t="s">
        <v>135</v>
      </c>
      <c r="J498" s="35" t="s">
        <v>82</v>
      </c>
      <c r="P498" s="19"/>
    </row>
    <row r="499">
      <c r="A499" s="32"/>
      <c r="C499" s="14"/>
      <c r="D499" s="4" t="s">
        <v>136</v>
      </c>
      <c r="E499" s="25">
        <f t="shared" si="82"/>
        <v>-15151.51515</v>
      </c>
      <c r="G499" s="35" t="s">
        <v>137</v>
      </c>
      <c r="H499" s="25" t="str">
        <f>(E472/H484)-(25/60)</f>
        <v>#DIV/0!</v>
      </c>
      <c r="I499" s="25" t="str">
        <f t="shared" ref="I499:I500" si="83">INT(H499)</f>
        <v>#DIV/0!</v>
      </c>
      <c r="J499" s="36" t="str">
        <f t="shared" ref="J499:J500" si="84">INT((H499-I499)*60)</f>
        <v>#DIV/0!</v>
      </c>
      <c r="P499" s="19"/>
    </row>
    <row r="500">
      <c r="A500" s="44"/>
      <c r="B500" s="45"/>
      <c r="C500" s="46"/>
      <c r="D500" s="47" t="s">
        <v>138</v>
      </c>
      <c r="E500" s="45">
        <f t="shared" si="82"/>
        <v>-18181.81818</v>
      </c>
      <c r="F500" s="45"/>
      <c r="G500" s="48" t="s">
        <v>139</v>
      </c>
      <c r="H500" s="45" t="str">
        <f>H472-H499</f>
        <v>#DIV/0!</v>
      </c>
      <c r="I500" s="45" t="str">
        <f t="shared" si="83"/>
        <v>#DIV/0!</v>
      </c>
      <c r="J500" s="49" t="str">
        <f t="shared" si="84"/>
        <v>#DIV/0!</v>
      </c>
      <c r="K500" s="45"/>
      <c r="L500" s="45"/>
      <c r="M500" s="45"/>
      <c r="N500" s="45"/>
      <c r="O500" s="45"/>
      <c r="P500" s="50"/>
    </row>
    <row r="502">
      <c r="A502" s="51"/>
      <c r="D502" s="51"/>
    </row>
    <row r="503">
      <c r="A503" s="51"/>
      <c r="B503" s="51"/>
      <c r="E503" s="51"/>
      <c r="G503" s="51"/>
      <c r="H503" s="51"/>
      <c r="I503" s="51"/>
    </row>
    <row r="504">
      <c r="A504" s="51"/>
      <c r="B504" s="51"/>
      <c r="D504" s="51"/>
      <c r="E504" s="51"/>
      <c r="F504" s="51"/>
      <c r="G504" s="51"/>
      <c r="I504" s="51"/>
    </row>
    <row r="505">
      <c r="A505" s="51"/>
      <c r="D505" s="51"/>
      <c r="E505" s="51"/>
      <c r="F505" s="51"/>
      <c r="G505" s="51"/>
    </row>
    <row r="506">
      <c r="A506" s="51"/>
      <c r="B506" s="51"/>
      <c r="D506" s="51"/>
      <c r="G506" s="51"/>
      <c r="H506" s="51"/>
      <c r="I506" s="51"/>
    </row>
    <row r="507">
      <c r="A507" s="51"/>
      <c r="B507" s="51"/>
      <c r="F507" s="51"/>
      <c r="G507" s="51"/>
    </row>
    <row r="508">
      <c r="A508" s="51"/>
      <c r="B508" s="51"/>
      <c r="F508" s="51"/>
      <c r="G508" s="51"/>
    </row>
    <row r="509">
      <c r="A509" s="51"/>
      <c r="B509" s="51"/>
      <c r="D509" s="51"/>
    </row>
    <row r="510">
      <c r="A510" s="6" t="s">
        <v>70</v>
      </c>
      <c r="B510" s="52"/>
      <c r="C510" s="8"/>
      <c r="D510" s="9" t="s">
        <v>71</v>
      </c>
      <c r="E510" s="10"/>
      <c r="F510" s="10"/>
      <c r="G510" s="10"/>
      <c r="H510" s="10"/>
      <c r="I510" s="10"/>
      <c r="J510" s="10"/>
      <c r="K510" s="9"/>
      <c r="L510" s="10"/>
      <c r="M510" s="10"/>
      <c r="N510" s="10"/>
      <c r="O510" s="10"/>
      <c r="P510" s="11"/>
    </row>
    <row r="511">
      <c r="A511" s="12" t="s">
        <v>72</v>
      </c>
      <c r="B511" s="13">
        <v>1000000.0</v>
      </c>
      <c r="C511" s="14"/>
      <c r="D511" s="53" t="str">
        <f>B510</f>
        <v/>
      </c>
      <c r="E511" s="16" t="s">
        <v>73</v>
      </c>
      <c r="F511" s="17"/>
      <c r="G511" s="16" t="s">
        <v>74</v>
      </c>
      <c r="H511" s="16" t="s">
        <v>75</v>
      </c>
      <c r="I511" s="16" t="s">
        <v>76</v>
      </c>
      <c r="J511" s="18" t="s">
        <v>77</v>
      </c>
      <c r="P511" s="19"/>
    </row>
    <row r="512">
      <c r="A512" s="12" t="s">
        <v>78</v>
      </c>
      <c r="B512" s="13">
        <v>1000000.0</v>
      </c>
      <c r="C512" s="14"/>
      <c r="D512" s="20" t="s">
        <v>72</v>
      </c>
      <c r="E512" s="21">
        <f t="shared" ref="E512:E513" si="85">B511</f>
        <v>1000000</v>
      </c>
      <c r="F512" s="20" t="s">
        <v>79</v>
      </c>
      <c r="G512" s="21">
        <f t="shared" ref="G512:G513" si="86">B514</f>
        <v>4</v>
      </c>
      <c r="H512" s="4">
        <f>G512+(G513/60)</f>
        <v>4.166666667</v>
      </c>
      <c r="I512" s="21">
        <f>B519</f>
        <v>6</v>
      </c>
      <c r="J512" s="22" t="s">
        <v>80</v>
      </c>
      <c r="K512" s="23">
        <f>B521/B522</f>
        <v>0</v>
      </c>
      <c r="P512" s="19"/>
    </row>
    <row r="513">
      <c r="A513" s="12" t="s">
        <v>81</v>
      </c>
      <c r="B513" s="14"/>
      <c r="C513" s="14"/>
      <c r="D513" s="20" t="s">
        <v>78</v>
      </c>
      <c r="E513" s="21">
        <f t="shared" si="85"/>
        <v>1000000</v>
      </c>
      <c r="F513" s="20" t="s">
        <v>82</v>
      </c>
      <c r="G513" s="21">
        <f t="shared" si="86"/>
        <v>10</v>
      </c>
      <c r="J513" s="22" t="s">
        <v>83</v>
      </c>
      <c r="K513" s="23">
        <f>B523/B524</f>
        <v>0</v>
      </c>
      <c r="P513" s="19"/>
    </row>
    <row r="514">
      <c r="A514" s="24" t="s">
        <v>79</v>
      </c>
      <c r="B514" s="13">
        <v>4.0</v>
      </c>
      <c r="C514" s="14"/>
      <c r="D514" s="20" t="s">
        <v>84</v>
      </c>
      <c r="E514" s="25">
        <f>E512-E513</f>
        <v>0</v>
      </c>
      <c r="F514" s="26"/>
      <c r="G514" s="16" t="s">
        <v>85</v>
      </c>
      <c r="H514" s="16" t="s">
        <v>86</v>
      </c>
      <c r="I514" s="16" t="s">
        <v>87</v>
      </c>
      <c r="J514" s="22" t="s">
        <v>88</v>
      </c>
      <c r="K514" s="23">
        <f>B525/B526</f>
        <v>0</v>
      </c>
      <c r="P514" s="19"/>
    </row>
    <row r="515">
      <c r="A515" s="24" t="s">
        <v>89</v>
      </c>
      <c r="B515" s="13">
        <v>10.0</v>
      </c>
      <c r="C515" s="14"/>
      <c r="D515" s="16" t="s">
        <v>90</v>
      </c>
      <c r="F515" s="20" t="s">
        <v>79</v>
      </c>
      <c r="G515" s="21">
        <f t="shared" ref="G515:G516" si="87">B517</f>
        <v>4</v>
      </c>
      <c r="H515" s="25">
        <f>G515+(G516/60)</f>
        <v>4.166666667</v>
      </c>
      <c r="I515" s="25">
        <f>H512-H515</f>
        <v>0</v>
      </c>
      <c r="J515" s="22" t="s">
        <v>91</v>
      </c>
      <c r="K515" s="23">
        <f>B527/B528</f>
        <v>0</v>
      </c>
      <c r="P515" s="19"/>
    </row>
    <row r="516">
      <c r="A516" s="12" t="s">
        <v>85</v>
      </c>
      <c r="B516" s="27"/>
      <c r="C516" s="14"/>
      <c r="D516" s="28" t="s">
        <v>92</v>
      </c>
      <c r="E516" s="25">
        <f>E512/H521</f>
        <v>218181.8182</v>
      </c>
      <c r="F516" s="20" t="s">
        <v>82</v>
      </c>
      <c r="G516" s="21">
        <f t="shared" si="87"/>
        <v>10</v>
      </c>
      <c r="J516" s="22" t="s">
        <v>93</v>
      </c>
      <c r="K516" s="23">
        <f>B529/B530</f>
        <v>0</v>
      </c>
      <c r="P516" s="19"/>
    </row>
    <row r="517">
      <c r="A517" s="24" t="s">
        <v>79</v>
      </c>
      <c r="B517" s="13">
        <v>4.0</v>
      </c>
      <c r="C517" s="14"/>
      <c r="D517" s="28" t="s">
        <v>94</v>
      </c>
      <c r="E517" s="25">
        <f>E512/I512</f>
        <v>166666.6667</v>
      </c>
      <c r="J517" s="22" t="s">
        <v>95</v>
      </c>
      <c r="K517" s="23">
        <f>B531/B532</f>
        <v>0</v>
      </c>
      <c r="P517" s="19"/>
    </row>
    <row r="518">
      <c r="A518" s="24" t="s">
        <v>89</v>
      </c>
      <c r="B518" s="13">
        <v>10.0</v>
      </c>
      <c r="C518" s="14"/>
      <c r="D518" s="28" t="s">
        <v>96</v>
      </c>
      <c r="E518" s="25">
        <f>E516/I512</f>
        <v>36363.63636</v>
      </c>
      <c r="J518" s="29" t="s">
        <v>97</v>
      </c>
      <c r="K518" s="30">
        <f>SUM(K512:K517)</f>
        <v>0</v>
      </c>
      <c r="P518" s="19"/>
    </row>
    <row r="519">
      <c r="A519" s="12" t="s">
        <v>98</v>
      </c>
      <c r="B519" s="13">
        <v>6.0</v>
      </c>
      <c r="C519" s="14"/>
      <c r="D519" s="28" t="s">
        <v>99</v>
      </c>
      <c r="E519" s="31">
        <f>E518/12</f>
        <v>3030.30303</v>
      </c>
      <c r="I519" s="29"/>
      <c r="J519" s="29" t="s">
        <v>100</v>
      </c>
      <c r="K519" s="30">
        <f>H529</f>
        <v>0</v>
      </c>
      <c r="P519" s="19"/>
    </row>
    <row r="520">
      <c r="A520" s="32"/>
      <c r="B520" s="14"/>
      <c r="C520" s="14"/>
      <c r="D520" s="28" t="s">
        <v>101</v>
      </c>
      <c r="E520" s="25">
        <f>E519*5</f>
        <v>15151.51515</v>
      </c>
      <c r="J520" s="29" t="s">
        <v>102</v>
      </c>
      <c r="K520" s="30">
        <f>E521</f>
        <v>18181.81818</v>
      </c>
      <c r="P520" s="19"/>
    </row>
    <row r="521">
      <c r="A521" s="33" t="s">
        <v>103</v>
      </c>
      <c r="B521" s="34">
        <v>0.0</v>
      </c>
      <c r="C521" s="14"/>
      <c r="D521" s="28" t="s">
        <v>104</v>
      </c>
      <c r="E521" s="25">
        <f>E519*6</f>
        <v>18181.81818</v>
      </c>
      <c r="G521" s="35" t="s">
        <v>105</v>
      </c>
      <c r="H521" s="36">
        <f>H512+(25/60)</f>
        <v>4.583333333</v>
      </c>
      <c r="J521" s="29" t="s">
        <v>106</v>
      </c>
      <c r="K521" s="30">
        <f>E529</f>
        <v>20000</v>
      </c>
      <c r="P521" s="19"/>
    </row>
    <row r="522">
      <c r="A522" s="37" t="s">
        <v>107</v>
      </c>
      <c r="B522" s="38">
        <v>1.0</v>
      </c>
      <c r="C522" s="14"/>
      <c r="G522" s="35" t="s">
        <v>108</v>
      </c>
      <c r="H522" s="36">
        <f>I515+(25/60)</f>
        <v>0.4166666667</v>
      </c>
      <c r="I522" s="39" t="s">
        <v>109</v>
      </c>
      <c r="P522" s="19"/>
    </row>
    <row r="523">
      <c r="A523" s="40" t="s">
        <v>110</v>
      </c>
      <c r="B523" s="13">
        <v>0.0</v>
      </c>
      <c r="C523" s="14"/>
      <c r="D523" s="16" t="s">
        <v>111</v>
      </c>
      <c r="G523" s="16" t="s">
        <v>112</v>
      </c>
      <c r="H523" s="36"/>
      <c r="I523" s="39" t="s">
        <v>113</v>
      </c>
      <c r="P523" s="19"/>
    </row>
    <row r="524">
      <c r="A524" s="37" t="s">
        <v>114</v>
      </c>
      <c r="B524" s="38">
        <v>1.0</v>
      </c>
      <c r="C524" s="14"/>
      <c r="D524" s="28" t="s">
        <v>92</v>
      </c>
      <c r="E524" s="25">
        <f>E513/H515</f>
        <v>240000</v>
      </c>
      <c r="G524" s="28" t="s">
        <v>92</v>
      </c>
      <c r="H524" s="36">
        <f>E514/H522</f>
        <v>0</v>
      </c>
      <c r="I524" s="39" t="s">
        <v>115</v>
      </c>
      <c r="P524" s="19"/>
    </row>
    <row r="525">
      <c r="A525" s="40" t="s">
        <v>116</v>
      </c>
      <c r="B525" s="13">
        <v>0.0</v>
      </c>
      <c r="C525" s="14"/>
      <c r="D525" s="28" t="s">
        <v>94</v>
      </c>
      <c r="E525" s="25">
        <f>E513/I512</f>
        <v>166666.6667</v>
      </c>
      <c r="G525" s="28" t="s">
        <v>94</v>
      </c>
      <c r="H525" s="36">
        <f>E514/I512</f>
        <v>0</v>
      </c>
      <c r="I525" s="39" t="s">
        <v>117</v>
      </c>
      <c r="P525" s="19"/>
    </row>
    <row r="526">
      <c r="A526" s="37" t="s">
        <v>118</v>
      </c>
      <c r="B526" s="38">
        <v>1.0</v>
      </c>
      <c r="C526" s="14"/>
      <c r="D526" s="28" t="s">
        <v>96</v>
      </c>
      <c r="E526" s="25">
        <f>E525/H515</f>
        <v>40000</v>
      </c>
      <c r="G526" s="28" t="s">
        <v>96</v>
      </c>
      <c r="H526" s="36">
        <f>H525/H522</f>
        <v>0</v>
      </c>
      <c r="P526" s="19"/>
    </row>
    <row r="527">
      <c r="A527" s="40" t="s">
        <v>119</v>
      </c>
      <c r="B527" s="13">
        <v>0.0</v>
      </c>
      <c r="C527" s="14"/>
      <c r="D527" s="28" t="s">
        <v>99</v>
      </c>
      <c r="E527" s="25">
        <f>E526/12</f>
        <v>3333.333333</v>
      </c>
      <c r="G527" s="28" t="s">
        <v>99</v>
      </c>
      <c r="H527" s="36">
        <f>H526/12</f>
        <v>0</v>
      </c>
      <c r="P527" s="19"/>
    </row>
    <row r="528">
      <c r="A528" s="37" t="s">
        <v>120</v>
      </c>
      <c r="B528" s="38">
        <v>1.0</v>
      </c>
      <c r="C528" s="14"/>
      <c r="D528" s="28" t="s">
        <v>101</v>
      </c>
      <c r="E528" s="25">
        <f>E527*5</f>
        <v>16666.66667</v>
      </c>
      <c r="G528" s="28" t="s">
        <v>101</v>
      </c>
      <c r="H528" s="36">
        <f>H527*5</f>
        <v>0</v>
      </c>
      <c r="P528" s="19"/>
    </row>
    <row r="529">
      <c r="A529" s="40" t="s">
        <v>121</v>
      </c>
      <c r="B529" s="13">
        <v>0.0</v>
      </c>
      <c r="C529" s="14"/>
      <c r="D529" s="28" t="s">
        <v>104</v>
      </c>
      <c r="E529" s="25">
        <f>E527*6</f>
        <v>20000</v>
      </c>
      <c r="G529" s="28" t="s">
        <v>104</v>
      </c>
      <c r="H529" s="36">
        <f>H527*6</f>
        <v>0</v>
      </c>
      <c r="P529" s="19"/>
    </row>
    <row r="530">
      <c r="A530" s="37" t="s">
        <v>122</v>
      </c>
      <c r="B530" s="38">
        <v>1.0</v>
      </c>
      <c r="C530" s="14"/>
      <c r="P530" s="19"/>
    </row>
    <row r="531">
      <c r="A531" s="40" t="s">
        <v>123</v>
      </c>
      <c r="B531" s="13">
        <v>0.0</v>
      </c>
      <c r="C531" s="14"/>
      <c r="D531" s="28" t="s">
        <v>124</v>
      </c>
      <c r="E531" s="41"/>
      <c r="F531" s="41"/>
      <c r="P531" s="19"/>
    </row>
    <row r="532">
      <c r="A532" s="37" t="s">
        <v>125</v>
      </c>
      <c r="B532" s="38">
        <v>1.0</v>
      </c>
      <c r="C532" s="14"/>
      <c r="D532" s="4" t="s">
        <v>126</v>
      </c>
      <c r="E532" s="25">
        <f t="shared" ref="E532:E535" si="88">H526-E526</f>
        <v>-40000</v>
      </c>
      <c r="P532" s="19"/>
    </row>
    <row r="533">
      <c r="A533" s="42" t="s">
        <v>127</v>
      </c>
      <c r="C533" s="14"/>
      <c r="D533" s="4" t="s">
        <v>128</v>
      </c>
      <c r="E533" s="25">
        <f t="shared" si="88"/>
        <v>-3333.333333</v>
      </c>
      <c r="P533" s="19"/>
    </row>
    <row r="534">
      <c r="A534" s="32"/>
      <c r="C534" s="14"/>
      <c r="D534" s="4" t="s">
        <v>129</v>
      </c>
      <c r="E534" s="25">
        <f t="shared" si="88"/>
        <v>-16666.66667</v>
      </c>
      <c r="G534" s="43"/>
      <c r="P534" s="19"/>
    </row>
    <row r="535">
      <c r="A535" s="32"/>
      <c r="C535" s="14"/>
      <c r="D535" s="4" t="s">
        <v>130</v>
      </c>
      <c r="E535" s="25">
        <f t="shared" si="88"/>
        <v>-20000</v>
      </c>
      <c r="P535" s="19"/>
    </row>
    <row r="536">
      <c r="A536" s="24"/>
      <c r="C536" s="14"/>
      <c r="D536" s="28" t="s">
        <v>131</v>
      </c>
      <c r="P536" s="19"/>
    </row>
    <row r="537">
      <c r="A537" s="32"/>
      <c r="C537" s="14"/>
      <c r="D537" s="4" t="s">
        <v>132</v>
      </c>
      <c r="E537" s="25">
        <f t="shared" ref="E537:E540" si="89">H526-E518</f>
        <v>-36363.63636</v>
      </c>
      <c r="P537" s="19"/>
    </row>
    <row r="538">
      <c r="A538" s="32"/>
      <c r="C538" s="14"/>
      <c r="D538" s="4" t="s">
        <v>133</v>
      </c>
      <c r="E538" s="25">
        <f t="shared" si="89"/>
        <v>-3030.30303</v>
      </c>
      <c r="G538" s="28" t="s">
        <v>134</v>
      </c>
      <c r="I538" s="35" t="s">
        <v>135</v>
      </c>
      <c r="J538" s="35" t="s">
        <v>82</v>
      </c>
      <c r="P538" s="19"/>
    </row>
    <row r="539">
      <c r="A539" s="32"/>
      <c r="C539" s="14"/>
      <c r="D539" s="4" t="s">
        <v>136</v>
      </c>
      <c r="E539" s="25">
        <f t="shared" si="89"/>
        <v>-15151.51515</v>
      </c>
      <c r="G539" s="35" t="s">
        <v>137</v>
      </c>
      <c r="H539" s="25" t="str">
        <f>(E512/H524)-(25/60)</f>
        <v>#DIV/0!</v>
      </c>
      <c r="I539" s="25" t="str">
        <f t="shared" ref="I539:I540" si="90">INT(H539)</f>
        <v>#DIV/0!</v>
      </c>
      <c r="J539" s="36" t="str">
        <f t="shared" ref="J539:J540" si="91">INT((H539-I539)*60)</f>
        <v>#DIV/0!</v>
      </c>
      <c r="P539" s="19"/>
    </row>
    <row r="540">
      <c r="A540" s="44"/>
      <c r="B540" s="45"/>
      <c r="C540" s="46"/>
      <c r="D540" s="47" t="s">
        <v>138</v>
      </c>
      <c r="E540" s="45">
        <f t="shared" si="89"/>
        <v>-18181.81818</v>
      </c>
      <c r="F540" s="45"/>
      <c r="G540" s="48" t="s">
        <v>139</v>
      </c>
      <c r="H540" s="45" t="str">
        <f>H512-H539</f>
        <v>#DIV/0!</v>
      </c>
      <c r="I540" s="45" t="str">
        <f t="shared" si="90"/>
        <v>#DIV/0!</v>
      </c>
      <c r="J540" s="49" t="str">
        <f t="shared" si="91"/>
        <v>#DIV/0!</v>
      </c>
      <c r="K540" s="45"/>
      <c r="L540" s="45"/>
      <c r="M540" s="45"/>
      <c r="N540" s="45"/>
      <c r="O540" s="45"/>
      <c r="P540" s="50"/>
    </row>
    <row r="541">
      <c r="A541" s="51"/>
      <c r="B541" s="51"/>
      <c r="D541" s="51"/>
    </row>
    <row r="542">
      <c r="D542" s="51"/>
      <c r="I542" s="51"/>
    </row>
    <row r="543">
      <c r="D543" s="51"/>
      <c r="I543" s="51"/>
    </row>
    <row r="544">
      <c r="A544" s="51"/>
      <c r="D544" s="51"/>
      <c r="G544" s="51"/>
    </row>
    <row r="545">
      <c r="A545" s="51"/>
      <c r="G545" s="51"/>
    </row>
    <row r="546">
      <c r="A546" s="51"/>
      <c r="D546" s="51"/>
      <c r="G546" s="51"/>
    </row>
    <row r="547">
      <c r="A547" s="51"/>
      <c r="D547" s="51"/>
      <c r="G547" s="51"/>
    </row>
    <row r="548">
      <c r="A548" s="51"/>
      <c r="D548" s="51"/>
      <c r="G548" s="51"/>
    </row>
    <row r="549">
      <c r="A549" s="51"/>
      <c r="D549" s="51"/>
      <c r="G549" s="51"/>
    </row>
    <row r="550">
      <c r="A550" s="6" t="s">
        <v>70</v>
      </c>
      <c r="B550" s="52"/>
      <c r="C550" s="8"/>
      <c r="D550" s="9" t="s">
        <v>71</v>
      </c>
      <c r="E550" s="10"/>
      <c r="F550" s="10"/>
      <c r="G550" s="10"/>
      <c r="H550" s="10"/>
      <c r="I550" s="10"/>
      <c r="J550" s="10"/>
      <c r="K550" s="9"/>
      <c r="L550" s="10"/>
      <c r="M550" s="10"/>
      <c r="N550" s="10"/>
      <c r="O550" s="10"/>
      <c r="P550" s="11"/>
    </row>
    <row r="551">
      <c r="A551" s="12" t="s">
        <v>72</v>
      </c>
      <c r="B551" s="13">
        <v>1000000.0</v>
      </c>
      <c r="C551" s="14"/>
      <c r="D551" s="53" t="str">
        <f>B550</f>
        <v/>
      </c>
      <c r="E551" s="16" t="s">
        <v>73</v>
      </c>
      <c r="F551" s="17"/>
      <c r="G551" s="16" t="s">
        <v>74</v>
      </c>
      <c r="H551" s="16" t="s">
        <v>75</v>
      </c>
      <c r="I551" s="16" t="s">
        <v>76</v>
      </c>
      <c r="J551" s="18" t="s">
        <v>77</v>
      </c>
      <c r="P551" s="19"/>
    </row>
    <row r="552">
      <c r="A552" s="12" t="s">
        <v>78</v>
      </c>
      <c r="B552" s="13">
        <v>1000000.0</v>
      </c>
      <c r="C552" s="14"/>
      <c r="D552" s="20" t="s">
        <v>72</v>
      </c>
      <c r="E552" s="21">
        <f t="shared" ref="E552:E553" si="92">B551</f>
        <v>1000000</v>
      </c>
      <c r="F552" s="20" t="s">
        <v>79</v>
      </c>
      <c r="G552" s="21">
        <f t="shared" ref="G552:G553" si="93">B554</f>
        <v>4</v>
      </c>
      <c r="H552" s="4">
        <f>G552+(G553/60)</f>
        <v>4.166666667</v>
      </c>
      <c r="I552" s="21">
        <f>B559</f>
        <v>6</v>
      </c>
      <c r="J552" s="22" t="s">
        <v>80</v>
      </c>
      <c r="K552" s="23">
        <f>B561/B562</f>
        <v>0</v>
      </c>
      <c r="P552" s="19"/>
    </row>
    <row r="553">
      <c r="A553" s="12" t="s">
        <v>81</v>
      </c>
      <c r="B553" s="14"/>
      <c r="C553" s="14"/>
      <c r="D553" s="20" t="s">
        <v>78</v>
      </c>
      <c r="E553" s="21">
        <f t="shared" si="92"/>
        <v>1000000</v>
      </c>
      <c r="F553" s="20" t="s">
        <v>82</v>
      </c>
      <c r="G553" s="21">
        <f t="shared" si="93"/>
        <v>10</v>
      </c>
      <c r="J553" s="22" t="s">
        <v>83</v>
      </c>
      <c r="K553" s="23">
        <f>B563/B564</f>
        <v>0</v>
      </c>
      <c r="P553" s="19"/>
    </row>
    <row r="554">
      <c r="A554" s="24" t="s">
        <v>79</v>
      </c>
      <c r="B554" s="13">
        <v>4.0</v>
      </c>
      <c r="C554" s="14"/>
      <c r="D554" s="20" t="s">
        <v>84</v>
      </c>
      <c r="E554" s="25">
        <f>E552-E553</f>
        <v>0</v>
      </c>
      <c r="F554" s="26"/>
      <c r="G554" s="16" t="s">
        <v>85</v>
      </c>
      <c r="H554" s="16" t="s">
        <v>86</v>
      </c>
      <c r="I554" s="16" t="s">
        <v>87</v>
      </c>
      <c r="J554" s="22" t="s">
        <v>88</v>
      </c>
      <c r="K554" s="23">
        <f>B565/B566</f>
        <v>0</v>
      </c>
      <c r="P554" s="19"/>
    </row>
    <row r="555">
      <c r="A555" s="24" t="s">
        <v>89</v>
      </c>
      <c r="B555" s="13">
        <v>10.0</v>
      </c>
      <c r="C555" s="14"/>
      <c r="D555" s="16" t="s">
        <v>90</v>
      </c>
      <c r="F555" s="20" t="s">
        <v>79</v>
      </c>
      <c r="G555" s="21">
        <f t="shared" ref="G555:G556" si="94">B557</f>
        <v>4</v>
      </c>
      <c r="H555" s="25">
        <f>G555+(G556/60)</f>
        <v>4.166666667</v>
      </c>
      <c r="I555" s="25">
        <f>H552-H555</f>
        <v>0</v>
      </c>
      <c r="J555" s="22" t="s">
        <v>91</v>
      </c>
      <c r="K555" s="23">
        <f>B567/B568</f>
        <v>0</v>
      </c>
      <c r="P555" s="19"/>
    </row>
    <row r="556">
      <c r="A556" s="12" t="s">
        <v>85</v>
      </c>
      <c r="B556" s="27"/>
      <c r="C556" s="14"/>
      <c r="D556" s="28" t="s">
        <v>92</v>
      </c>
      <c r="E556" s="25">
        <f>E552/H561</f>
        <v>218181.8182</v>
      </c>
      <c r="F556" s="20" t="s">
        <v>82</v>
      </c>
      <c r="G556" s="21">
        <f t="shared" si="94"/>
        <v>10</v>
      </c>
      <c r="J556" s="22" t="s">
        <v>93</v>
      </c>
      <c r="K556" s="23">
        <f>B569/B570</f>
        <v>0</v>
      </c>
      <c r="P556" s="19"/>
    </row>
    <row r="557">
      <c r="A557" s="24" t="s">
        <v>79</v>
      </c>
      <c r="B557" s="13">
        <v>4.0</v>
      </c>
      <c r="C557" s="14"/>
      <c r="D557" s="28" t="s">
        <v>94</v>
      </c>
      <c r="E557" s="25">
        <f>E552/I552</f>
        <v>166666.6667</v>
      </c>
      <c r="J557" s="22" t="s">
        <v>95</v>
      </c>
      <c r="K557" s="23">
        <f>B571/B572</f>
        <v>0</v>
      </c>
      <c r="P557" s="19"/>
    </row>
    <row r="558">
      <c r="A558" s="24" t="s">
        <v>89</v>
      </c>
      <c r="B558" s="13">
        <v>10.0</v>
      </c>
      <c r="C558" s="14"/>
      <c r="D558" s="28" t="s">
        <v>96</v>
      </c>
      <c r="E558" s="25">
        <f>E556/I552</f>
        <v>36363.63636</v>
      </c>
      <c r="J558" s="29" t="s">
        <v>97</v>
      </c>
      <c r="K558" s="30">
        <f>SUM(K552:K557)</f>
        <v>0</v>
      </c>
      <c r="P558" s="19"/>
    </row>
    <row r="559">
      <c r="A559" s="12" t="s">
        <v>98</v>
      </c>
      <c r="B559" s="13">
        <v>6.0</v>
      </c>
      <c r="C559" s="14"/>
      <c r="D559" s="28" t="s">
        <v>99</v>
      </c>
      <c r="E559" s="31">
        <f>E558/12</f>
        <v>3030.30303</v>
      </c>
      <c r="I559" s="29"/>
      <c r="J559" s="29" t="s">
        <v>100</v>
      </c>
      <c r="K559" s="30">
        <f>H569</f>
        <v>0</v>
      </c>
      <c r="P559" s="19"/>
    </row>
    <row r="560">
      <c r="A560" s="32"/>
      <c r="B560" s="14"/>
      <c r="C560" s="14"/>
      <c r="D560" s="28" t="s">
        <v>101</v>
      </c>
      <c r="E560" s="25">
        <f>E559*5</f>
        <v>15151.51515</v>
      </c>
      <c r="J560" s="29" t="s">
        <v>102</v>
      </c>
      <c r="K560" s="30">
        <f>E561</f>
        <v>18181.81818</v>
      </c>
      <c r="P560" s="19"/>
    </row>
    <row r="561">
      <c r="A561" s="33" t="s">
        <v>103</v>
      </c>
      <c r="B561" s="34">
        <v>0.0</v>
      </c>
      <c r="C561" s="14"/>
      <c r="D561" s="28" t="s">
        <v>104</v>
      </c>
      <c r="E561" s="25">
        <f>E559*6</f>
        <v>18181.81818</v>
      </c>
      <c r="G561" s="35" t="s">
        <v>105</v>
      </c>
      <c r="H561" s="36">
        <f>H552+(25/60)</f>
        <v>4.583333333</v>
      </c>
      <c r="J561" s="29" t="s">
        <v>106</v>
      </c>
      <c r="K561" s="30">
        <f>E569</f>
        <v>20000</v>
      </c>
      <c r="P561" s="19"/>
    </row>
    <row r="562">
      <c r="A562" s="37" t="s">
        <v>107</v>
      </c>
      <c r="B562" s="38">
        <v>1.0</v>
      </c>
      <c r="C562" s="14"/>
      <c r="G562" s="35" t="s">
        <v>108</v>
      </c>
      <c r="H562" s="36">
        <f>I555+(25/60)</f>
        <v>0.4166666667</v>
      </c>
      <c r="I562" s="39" t="s">
        <v>109</v>
      </c>
      <c r="P562" s="19"/>
    </row>
    <row r="563">
      <c r="A563" s="40" t="s">
        <v>110</v>
      </c>
      <c r="B563" s="13">
        <v>0.0</v>
      </c>
      <c r="C563" s="14"/>
      <c r="D563" s="16" t="s">
        <v>111</v>
      </c>
      <c r="G563" s="16" t="s">
        <v>112</v>
      </c>
      <c r="H563" s="36"/>
      <c r="I563" s="39" t="s">
        <v>113</v>
      </c>
      <c r="P563" s="19"/>
    </row>
    <row r="564">
      <c r="A564" s="37" t="s">
        <v>114</v>
      </c>
      <c r="B564" s="38">
        <v>1.0</v>
      </c>
      <c r="C564" s="14"/>
      <c r="D564" s="28" t="s">
        <v>92</v>
      </c>
      <c r="E564" s="25">
        <f>E553/H555</f>
        <v>240000</v>
      </c>
      <c r="G564" s="28" t="s">
        <v>92</v>
      </c>
      <c r="H564" s="36">
        <f>E554/H562</f>
        <v>0</v>
      </c>
      <c r="I564" s="39" t="s">
        <v>115</v>
      </c>
      <c r="P564" s="19"/>
    </row>
    <row r="565">
      <c r="A565" s="40" t="s">
        <v>116</v>
      </c>
      <c r="B565" s="13">
        <v>0.0</v>
      </c>
      <c r="C565" s="14"/>
      <c r="D565" s="28" t="s">
        <v>94</v>
      </c>
      <c r="E565" s="25">
        <f>E553/I552</f>
        <v>166666.6667</v>
      </c>
      <c r="G565" s="28" t="s">
        <v>94</v>
      </c>
      <c r="H565" s="36">
        <f>E554/I552</f>
        <v>0</v>
      </c>
      <c r="I565" s="39" t="s">
        <v>117</v>
      </c>
      <c r="P565" s="19"/>
    </row>
    <row r="566">
      <c r="A566" s="37" t="s">
        <v>118</v>
      </c>
      <c r="B566" s="38">
        <v>1.0</v>
      </c>
      <c r="C566" s="14"/>
      <c r="D566" s="28" t="s">
        <v>96</v>
      </c>
      <c r="E566" s="25">
        <f>E565/H555</f>
        <v>40000</v>
      </c>
      <c r="G566" s="28" t="s">
        <v>96</v>
      </c>
      <c r="H566" s="36">
        <f>H565/H562</f>
        <v>0</v>
      </c>
      <c r="P566" s="19"/>
    </row>
    <row r="567">
      <c r="A567" s="40" t="s">
        <v>119</v>
      </c>
      <c r="B567" s="13">
        <v>0.0</v>
      </c>
      <c r="C567" s="14"/>
      <c r="D567" s="28" t="s">
        <v>99</v>
      </c>
      <c r="E567" s="25">
        <f>E566/12</f>
        <v>3333.333333</v>
      </c>
      <c r="G567" s="28" t="s">
        <v>99</v>
      </c>
      <c r="H567" s="36">
        <f>H566/12</f>
        <v>0</v>
      </c>
      <c r="P567" s="19"/>
    </row>
    <row r="568">
      <c r="A568" s="37" t="s">
        <v>120</v>
      </c>
      <c r="B568" s="38">
        <v>1.0</v>
      </c>
      <c r="C568" s="14"/>
      <c r="D568" s="28" t="s">
        <v>101</v>
      </c>
      <c r="E568" s="25">
        <f>E567*5</f>
        <v>16666.66667</v>
      </c>
      <c r="G568" s="28" t="s">
        <v>101</v>
      </c>
      <c r="H568" s="36">
        <f>H567*5</f>
        <v>0</v>
      </c>
      <c r="P568" s="19"/>
    </row>
    <row r="569">
      <c r="A569" s="40" t="s">
        <v>121</v>
      </c>
      <c r="B569" s="13">
        <v>0.0</v>
      </c>
      <c r="C569" s="14"/>
      <c r="D569" s="28" t="s">
        <v>104</v>
      </c>
      <c r="E569" s="25">
        <f>E567*6</f>
        <v>20000</v>
      </c>
      <c r="G569" s="28" t="s">
        <v>104</v>
      </c>
      <c r="H569" s="36">
        <f>H567*6</f>
        <v>0</v>
      </c>
      <c r="P569" s="19"/>
    </row>
    <row r="570">
      <c r="A570" s="37" t="s">
        <v>122</v>
      </c>
      <c r="B570" s="38">
        <v>1.0</v>
      </c>
      <c r="C570" s="14"/>
      <c r="P570" s="19"/>
    </row>
    <row r="571">
      <c r="A571" s="40" t="s">
        <v>123</v>
      </c>
      <c r="B571" s="13">
        <v>0.0</v>
      </c>
      <c r="C571" s="14"/>
      <c r="D571" s="28" t="s">
        <v>124</v>
      </c>
      <c r="E571" s="41"/>
      <c r="F571" s="41"/>
      <c r="P571" s="19"/>
    </row>
    <row r="572">
      <c r="A572" s="37" t="s">
        <v>125</v>
      </c>
      <c r="B572" s="38">
        <v>1.0</v>
      </c>
      <c r="C572" s="14"/>
      <c r="D572" s="4" t="s">
        <v>126</v>
      </c>
      <c r="E572" s="25">
        <f t="shared" ref="E572:E575" si="95">H566-E566</f>
        <v>-40000</v>
      </c>
      <c r="P572" s="19"/>
    </row>
    <row r="573">
      <c r="A573" s="42" t="s">
        <v>127</v>
      </c>
      <c r="C573" s="14"/>
      <c r="D573" s="4" t="s">
        <v>128</v>
      </c>
      <c r="E573" s="25">
        <f t="shared" si="95"/>
        <v>-3333.333333</v>
      </c>
      <c r="P573" s="19"/>
    </row>
    <row r="574">
      <c r="A574" s="32"/>
      <c r="C574" s="14"/>
      <c r="D574" s="4" t="s">
        <v>129</v>
      </c>
      <c r="E574" s="25">
        <f t="shared" si="95"/>
        <v>-16666.66667</v>
      </c>
      <c r="G574" s="43"/>
      <c r="P574" s="19"/>
    </row>
    <row r="575">
      <c r="A575" s="32"/>
      <c r="C575" s="14"/>
      <c r="D575" s="4" t="s">
        <v>130</v>
      </c>
      <c r="E575" s="25">
        <f t="shared" si="95"/>
        <v>-20000</v>
      </c>
      <c r="P575" s="19"/>
    </row>
    <row r="576">
      <c r="A576" s="24"/>
      <c r="C576" s="14"/>
      <c r="D576" s="28" t="s">
        <v>131</v>
      </c>
      <c r="P576" s="19"/>
    </row>
    <row r="577">
      <c r="A577" s="32"/>
      <c r="C577" s="14"/>
      <c r="D577" s="4" t="s">
        <v>132</v>
      </c>
      <c r="E577" s="25">
        <f t="shared" ref="E577:E580" si="96">H566-E558</f>
        <v>-36363.63636</v>
      </c>
      <c r="P577" s="19"/>
    </row>
    <row r="578">
      <c r="A578" s="32"/>
      <c r="C578" s="14"/>
      <c r="D578" s="4" t="s">
        <v>133</v>
      </c>
      <c r="E578" s="25">
        <f t="shared" si="96"/>
        <v>-3030.30303</v>
      </c>
      <c r="G578" s="28" t="s">
        <v>134</v>
      </c>
      <c r="I578" s="35" t="s">
        <v>135</v>
      </c>
      <c r="J578" s="35" t="s">
        <v>82</v>
      </c>
      <c r="P578" s="19"/>
    </row>
    <row r="579">
      <c r="A579" s="32"/>
      <c r="C579" s="14"/>
      <c r="D579" s="4" t="s">
        <v>136</v>
      </c>
      <c r="E579" s="25">
        <f t="shared" si="96"/>
        <v>-15151.51515</v>
      </c>
      <c r="G579" s="35" t="s">
        <v>137</v>
      </c>
      <c r="H579" s="25" t="str">
        <f>(E552/H564)-(25/60)</f>
        <v>#DIV/0!</v>
      </c>
      <c r="I579" s="25" t="str">
        <f t="shared" ref="I579:I580" si="97">INT(H579)</f>
        <v>#DIV/0!</v>
      </c>
      <c r="J579" s="36" t="str">
        <f t="shared" ref="J579:J580" si="98">INT((H579-I579)*60)</f>
        <v>#DIV/0!</v>
      </c>
      <c r="P579" s="19"/>
    </row>
    <row r="580">
      <c r="A580" s="44"/>
      <c r="B580" s="45"/>
      <c r="C580" s="46"/>
      <c r="D580" s="47" t="s">
        <v>138</v>
      </c>
      <c r="E580" s="45">
        <f t="shared" si="96"/>
        <v>-18181.81818</v>
      </c>
      <c r="F580" s="45"/>
      <c r="G580" s="48" t="s">
        <v>139</v>
      </c>
      <c r="H580" s="45" t="str">
        <f>H552-H579</f>
        <v>#DIV/0!</v>
      </c>
      <c r="I580" s="45" t="str">
        <f t="shared" si="97"/>
        <v>#DIV/0!</v>
      </c>
      <c r="J580" s="49" t="str">
        <f t="shared" si="98"/>
        <v>#DIV/0!</v>
      </c>
      <c r="K580" s="45"/>
      <c r="L580" s="45"/>
      <c r="M580" s="45"/>
      <c r="N580" s="45"/>
      <c r="O580" s="45"/>
      <c r="P580" s="50"/>
    </row>
    <row r="581">
      <c r="A581" s="51"/>
      <c r="D581" s="51"/>
      <c r="G581" s="51"/>
    </row>
    <row r="582">
      <c r="A582" s="51"/>
    </row>
    <row r="583">
      <c r="A583" s="51"/>
      <c r="D583" s="51"/>
    </row>
    <row r="584">
      <c r="A584" s="51"/>
    </row>
    <row r="585">
      <c r="A585" s="51"/>
      <c r="G585" s="51"/>
    </row>
    <row r="587">
      <c r="D587" s="51"/>
    </row>
    <row r="590">
      <c r="A590" s="6" t="s">
        <v>70</v>
      </c>
      <c r="B590" s="52"/>
      <c r="C590" s="8"/>
      <c r="D590" s="9" t="s">
        <v>71</v>
      </c>
      <c r="E590" s="10"/>
      <c r="F590" s="10"/>
      <c r="G590" s="10"/>
      <c r="H590" s="10"/>
      <c r="I590" s="10"/>
      <c r="J590" s="10"/>
      <c r="K590" s="9"/>
      <c r="L590" s="10"/>
      <c r="M590" s="10"/>
      <c r="N590" s="10"/>
      <c r="O590" s="10"/>
      <c r="P590" s="11"/>
    </row>
    <row r="591">
      <c r="A591" s="12" t="s">
        <v>72</v>
      </c>
      <c r="B591" s="13">
        <v>1000000.0</v>
      </c>
      <c r="C591" s="14"/>
      <c r="D591" s="53" t="str">
        <f>B590</f>
        <v/>
      </c>
      <c r="E591" s="16" t="s">
        <v>73</v>
      </c>
      <c r="F591" s="17"/>
      <c r="G591" s="16" t="s">
        <v>74</v>
      </c>
      <c r="H591" s="16" t="s">
        <v>75</v>
      </c>
      <c r="I591" s="16" t="s">
        <v>76</v>
      </c>
      <c r="J591" s="18" t="s">
        <v>77</v>
      </c>
      <c r="P591" s="19"/>
    </row>
    <row r="592">
      <c r="A592" s="12" t="s">
        <v>78</v>
      </c>
      <c r="B592" s="13">
        <v>1000000.0</v>
      </c>
      <c r="C592" s="14"/>
      <c r="D592" s="20" t="s">
        <v>72</v>
      </c>
      <c r="E592" s="21">
        <f t="shared" ref="E592:E593" si="99">B591</f>
        <v>1000000</v>
      </c>
      <c r="F592" s="20" t="s">
        <v>79</v>
      </c>
      <c r="G592" s="21">
        <f t="shared" ref="G592:G593" si="100">B594</f>
        <v>4</v>
      </c>
      <c r="H592" s="4">
        <f>G592+(G593/60)</f>
        <v>4.166666667</v>
      </c>
      <c r="I592" s="21">
        <f>B599</f>
        <v>6</v>
      </c>
      <c r="J592" s="22" t="s">
        <v>80</v>
      </c>
      <c r="K592" s="23">
        <f>B601/B602</f>
        <v>0</v>
      </c>
      <c r="P592" s="19"/>
    </row>
    <row r="593">
      <c r="A593" s="12" t="s">
        <v>81</v>
      </c>
      <c r="B593" s="14"/>
      <c r="C593" s="14"/>
      <c r="D593" s="20" t="s">
        <v>78</v>
      </c>
      <c r="E593" s="21">
        <f t="shared" si="99"/>
        <v>1000000</v>
      </c>
      <c r="F593" s="20" t="s">
        <v>82</v>
      </c>
      <c r="G593" s="21">
        <f t="shared" si="100"/>
        <v>10</v>
      </c>
      <c r="J593" s="22" t="s">
        <v>83</v>
      </c>
      <c r="K593" s="23">
        <f>B603/B604</f>
        <v>0</v>
      </c>
      <c r="P593" s="19"/>
    </row>
    <row r="594">
      <c r="A594" s="24" t="s">
        <v>79</v>
      </c>
      <c r="B594" s="13">
        <v>4.0</v>
      </c>
      <c r="C594" s="14"/>
      <c r="D594" s="20" t="s">
        <v>84</v>
      </c>
      <c r="E594" s="25">
        <f>E592-E593</f>
        <v>0</v>
      </c>
      <c r="F594" s="26"/>
      <c r="G594" s="16" t="s">
        <v>85</v>
      </c>
      <c r="H594" s="16" t="s">
        <v>86</v>
      </c>
      <c r="I594" s="16" t="s">
        <v>87</v>
      </c>
      <c r="J594" s="22" t="s">
        <v>88</v>
      </c>
      <c r="K594" s="23">
        <f>B605/B606</f>
        <v>0</v>
      </c>
      <c r="P594" s="19"/>
    </row>
    <row r="595">
      <c r="A595" s="24" t="s">
        <v>89</v>
      </c>
      <c r="B595" s="13">
        <v>10.0</v>
      </c>
      <c r="C595" s="14"/>
      <c r="D595" s="16" t="s">
        <v>90</v>
      </c>
      <c r="F595" s="20" t="s">
        <v>79</v>
      </c>
      <c r="G595" s="21">
        <f t="shared" ref="G595:G596" si="101">B597</f>
        <v>4</v>
      </c>
      <c r="H595" s="25">
        <f>G595+(G596/60)</f>
        <v>4.166666667</v>
      </c>
      <c r="I595" s="25">
        <f>H592-H595</f>
        <v>0</v>
      </c>
      <c r="J595" s="22" t="s">
        <v>91</v>
      </c>
      <c r="K595" s="23">
        <f>B607/B608</f>
        <v>0</v>
      </c>
      <c r="P595" s="19"/>
    </row>
    <row r="596">
      <c r="A596" s="12" t="s">
        <v>85</v>
      </c>
      <c r="B596" s="27"/>
      <c r="C596" s="14"/>
      <c r="D596" s="28" t="s">
        <v>92</v>
      </c>
      <c r="E596" s="25">
        <f>E592/H601</f>
        <v>218181.8182</v>
      </c>
      <c r="F596" s="20" t="s">
        <v>82</v>
      </c>
      <c r="G596" s="21">
        <f t="shared" si="101"/>
        <v>10</v>
      </c>
      <c r="J596" s="22" t="s">
        <v>93</v>
      </c>
      <c r="K596" s="23">
        <f>B609/B610</f>
        <v>0</v>
      </c>
      <c r="P596" s="19"/>
    </row>
    <row r="597">
      <c r="A597" s="24" t="s">
        <v>79</v>
      </c>
      <c r="B597" s="13">
        <v>4.0</v>
      </c>
      <c r="C597" s="14"/>
      <c r="D597" s="28" t="s">
        <v>94</v>
      </c>
      <c r="E597" s="25">
        <f>E592/I592</f>
        <v>166666.6667</v>
      </c>
      <c r="J597" s="22" t="s">
        <v>95</v>
      </c>
      <c r="K597" s="23">
        <f>B611/B612</f>
        <v>0</v>
      </c>
      <c r="P597" s="19"/>
    </row>
    <row r="598">
      <c r="A598" s="24" t="s">
        <v>89</v>
      </c>
      <c r="B598" s="13">
        <v>10.0</v>
      </c>
      <c r="C598" s="14"/>
      <c r="D598" s="28" t="s">
        <v>96</v>
      </c>
      <c r="E598" s="25">
        <f>E596/I592</f>
        <v>36363.63636</v>
      </c>
      <c r="J598" s="29" t="s">
        <v>97</v>
      </c>
      <c r="K598" s="30">
        <f>SUM(K592:K597)</f>
        <v>0</v>
      </c>
      <c r="P598" s="19"/>
    </row>
    <row r="599">
      <c r="A599" s="12" t="s">
        <v>98</v>
      </c>
      <c r="B599" s="13">
        <v>6.0</v>
      </c>
      <c r="C599" s="14"/>
      <c r="D599" s="28" t="s">
        <v>99</v>
      </c>
      <c r="E599" s="31">
        <f>E598/12</f>
        <v>3030.30303</v>
      </c>
      <c r="I599" s="29"/>
      <c r="J599" s="29" t="s">
        <v>100</v>
      </c>
      <c r="K599" s="30">
        <f>H609</f>
        <v>0</v>
      </c>
      <c r="P599" s="19"/>
    </row>
    <row r="600">
      <c r="A600" s="32"/>
      <c r="B600" s="14"/>
      <c r="C600" s="14"/>
      <c r="D600" s="28" t="s">
        <v>101</v>
      </c>
      <c r="E600" s="25">
        <f>E599*5</f>
        <v>15151.51515</v>
      </c>
      <c r="J600" s="29" t="s">
        <v>102</v>
      </c>
      <c r="K600" s="30">
        <f>E601</f>
        <v>18181.81818</v>
      </c>
      <c r="P600" s="19"/>
    </row>
    <row r="601">
      <c r="A601" s="33" t="s">
        <v>103</v>
      </c>
      <c r="B601" s="34">
        <v>0.0</v>
      </c>
      <c r="C601" s="14"/>
      <c r="D601" s="28" t="s">
        <v>104</v>
      </c>
      <c r="E601" s="25">
        <f>E599*6</f>
        <v>18181.81818</v>
      </c>
      <c r="G601" s="35" t="s">
        <v>105</v>
      </c>
      <c r="H601" s="36">
        <f>H592+(25/60)</f>
        <v>4.583333333</v>
      </c>
      <c r="J601" s="29" t="s">
        <v>106</v>
      </c>
      <c r="K601" s="30">
        <f>E609</f>
        <v>20000</v>
      </c>
      <c r="P601" s="19"/>
    </row>
    <row r="602">
      <c r="A602" s="37" t="s">
        <v>107</v>
      </c>
      <c r="B602" s="38">
        <v>1.0</v>
      </c>
      <c r="C602" s="14"/>
      <c r="G602" s="35" t="s">
        <v>108</v>
      </c>
      <c r="H602" s="36">
        <f>I595+(25/60)</f>
        <v>0.4166666667</v>
      </c>
      <c r="I602" s="39" t="s">
        <v>109</v>
      </c>
      <c r="P602" s="19"/>
    </row>
    <row r="603">
      <c r="A603" s="40" t="s">
        <v>110</v>
      </c>
      <c r="B603" s="13">
        <v>0.0</v>
      </c>
      <c r="C603" s="14"/>
      <c r="D603" s="16" t="s">
        <v>111</v>
      </c>
      <c r="G603" s="16" t="s">
        <v>112</v>
      </c>
      <c r="H603" s="36"/>
      <c r="I603" s="39" t="s">
        <v>113</v>
      </c>
      <c r="P603" s="19"/>
    </row>
    <row r="604">
      <c r="A604" s="37" t="s">
        <v>114</v>
      </c>
      <c r="B604" s="38">
        <v>1.0</v>
      </c>
      <c r="C604" s="14"/>
      <c r="D604" s="28" t="s">
        <v>92</v>
      </c>
      <c r="E604" s="25">
        <f>E593/H595</f>
        <v>240000</v>
      </c>
      <c r="G604" s="28" t="s">
        <v>92</v>
      </c>
      <c r="H604" s="36">
        <f>E594/H602</f>
        <v>0</v>
      </c>
      <c r="I604" s="39" t="s">
        <v>115</v>
      </c>
      <c r="P604" s="19"/>
    </row>
    <row r="605">
      <c r="A605" s="40" t="s">
        <v>116</v>
      </c>
      <c r="B605" s="13">
        <v>0.0</v>
      </c>
      <c r="C605" s="14"/>
      <c r="D605" s="28" t="s">
        <v>94</v>
      </c>
      <c r="E605" s="25">
        <f>E593/I592</f>
        <v>166666.6667</v>
      </c>
      <c r="G605" s="28" t="s">
        <v>94</v>
      </c>
      <c r="H605" s="36">
        <f>E594/I592</f>
        <v>0</v>
      </c>
      <c r="I605" s="39" t="s">
        <v>117</v>
      </c>
      <c r="P605" s="19"/>
    </row>
    <row r="606">
      <c r="A606" s="37" t="s">
        <v>118</v>
      </c>
      <c r="B606" s="38">
        <v>1.0</v>
      </c>
      <c r="C606" s="14"/>
      <c r="D606" s="28" t="s">
        <v>96</v>
      </c>
      <c r="E606" s="25">
        <f>E605/H595</f>
        <v>40000</v>
      </c>
      <c r="G606" s="28" t="s">
        <v>96</v>
      </c>
      <c r="H606" s="36">
        <f>H605/H602</f>
        <v>0</v>
      </c>
      <c r="P606" s="19"/>
    </row>
    <row r="607">
      <c r="A607" s="40" t="s">
        <v>119</v>
      </c>
      <c r="B607" s="13">
        <v>0.0</v>
      </c>
      <c r="C607" s="14"/>
      <c r="D607" s="28" t="s">
        <v>99</v>
      </c>
      <c r="E607" s="25">
        <f>E606/12</f>
        <v>3333.333333</v>
      </c>
      <c r="G607" s="28" t="s">
        <v>99</v>
      </c>
      <c r="H607" s="36">
        <f>H606/12</f>
        <v>0</v>
      </c>
      <c r="P607" s="19"/>
    </row>
    <row r="608">
      <c r="A608" s="37" t="s">
        <v>120</v>
      </c>
      <c r="B608" s="38">
        <v>1.0</v>
      </c>
      <c r="C608" s="14"/>
      <c r="D608" s="28" t="s">
        <v>101</v>
      </c>
      <c r="E608" s="25">
        <f>E607*5</f>
        <v>16666.66667</v>
      </c>
      <c r="G608" s="28" t="s">
        <v>101</v>
      </c>
      <c r="H608" s="36">
        <f>H607*5</f>
        <v>0</v>
      </c>
      <c r="P608" s="19"/>
    </row>
    <row r="609">
      <c r="A609" s="40" t="s">
        <v>121</v>
      </c>
      <c r="B609" s="13">
        <v>0.0</v>
      </c>
      <c r="C609" s="14"/>
      <c r="D609" s="28" t="s">
        <v>104</v>
      </c>
      <c r="E609" s="25">
        <f>E607*6</f>
        <v>20000</v>
      </c>
      <c r="G609" s="28" t="s">
        <v>104</v>
      </c>
      <c r="H609" s="36">
        <f>H607*6</f>
        <v>0</v>
      </c>
      <c r="P609" s="19"/>
    </row>
    <row r="610">
      <c r="A610" s="37" t="s">
        <v>122</v>
      </c>
      <c r="B610" s="38">
        <v>1.0</v>
      </c>
      <c r="C610" s="14"/>
      <c r="P610" s="19"/>
    </row>
    <row r="611">
      <c r="A611" s="40" t="s">
        <v>123</v>
      </c>
      <c r="B611" s="13">
        <v>0.0</v>
      </c>
      <c r="C611" s="14"/>
      <c r="D611" s="28" t="s">
        <v>124</v>
      </c>
      <c r="E611" s="41"/>
      <c r="F611" s="41"/>
      <c r="P611" s="19"/>
    </row>
    <row r="612">
      <c r="A612" s="37" t="s">
        <v>125</v>
      </c>
      <c r="B612" s="38">
        <v>1.0</v>
      </c>
      <c r="C612" s="14"/>
      <c r="D612" s="4" t="s">
        <v>126</v>
      </c>
      <c r="E612" s="25">
        <f t="shared" ref="E612:E615" si="102">H606-E606</f>
        <v>-40000</v>
      </c>
      <c r="P612" s="19"/>
    </row>
    <row r="613">
      <c r="A613" s="42" t="s">
        <v>127</v>
      </c>
      <c r="C613" s="14"/>
      <c r="D613" s="4" t="s">
        <v>128</v>
      </c>
      <c r="E613" s="25">
        <f t="shared" si="102"/>
        <v>-3333.333333</v>
      </c>
      <c r="P613" s="19"/>
    </row>
    <row r="614">
      <c r="A614" s="32"/>
      <c r="C614" s="14"/>
      <c r="D614" s="4" t="s">
        <v>129</v>
      </c>
      <c r="E614" s="25">
        <f t="shared" si="102"/>
        <v>-16666.66667</v>
      </c>
      <c r="G614" s="43"/>
      <c r="P614" s="19"/>
    </row>
    <row r="615">
      <c r="A615" s="32"/>
      <c r="C615" s="14"/>
      <c r="D615" s="4" t="s">
        <v>130</v>
      </c>
      <c r="E615" s="25">
        <f t="shared" si="102"/>
        <v>-20000</v>
      </c>
      <c r="P615" s="19"/>
    </row>
    <row r="616">
      <c r="A616" s="24"/>
      <c r="C616" s="14"/>
      <c r="D616" s="28" t="s">
        <v>131</v>
      </c>
      <c r="P616" s="19"/>
    </row>
    <row r="617">
      <c r="A617" s="32"/>
      <c r="C617" s="14"/>
      <c r="D617" s="4" t="s">
        <v>132</v>
      </c>
      <c r="E617" s="25">
        <f t="shared" ref="E617:E620" si="103">H606-E598</f>
        <v>-36363.63636</v>
      </c>
      <c r="P617" s="19"/>
    </row>
    <row r="618">
      <c r="A618" s="32"/>
      <c r="C618" s="14"/>
      <c r="D618" s="4" t="s">
        <v>133</v>
      </c>
      <c r="E618" s="25">
        <f t="shared" si="103"/>
        <v>-3030.30303</v>
      </c>
      <c r="G618" s="28" t="s">
        <v>134</v>
      </c>
      <c r="I618" s="35" t="s">
        <v>135</v>
      </c>
      <c r="J618" s="35" t="s">
        <v>82</v>
      </c>
      <c r="P618" s="19"/>
    </row>
    <row r="619">
      <c r="A619" s="32"/>
      <c r="C619" s="14"/>
      <c r="D619" s="4" t="s">
        <v>136</v>
      </c>
      <c r="E619" s="25">
        <f t="shared" si="103"/>
        <v>-15151.51515</v>
      </c>
      <c r="G619" s="35" t="s">
        <v>137</v>
      </c>
      <c r="H619" s="25" t="str">
        <f>(E592/H604)-(25/60)</f>
        <v>#DIV/0!</v>
      </c>
      <c r="I619" s="25" t="str">
        <f t="shared" ref="I619:I620" si="104">INT(H619)</f>
        <v>#DIV/0!</v>
      </c>
      <c r="J619" s="36" t="str">
        <f t="shared" ref="J619:J620" si="105">INT((H619-I619)*60)</f>
        <v>#DIV/0!</v>
      </c>
      <c r="P619" s="19"/>
    </row>
    <row r="620">
      <c r="A620" s="44"/>
      <c r="B620" s="45"/>
      <c r="C620" s="46"/>
      <c r="D620" s="47" t="s">
        <v>138</v>
      </c>
      <c r="E620" s="45">
        <f t="shared" si="103"/>
        <v>-18181.81818</v>
      </c>
      <c r="F620" s="45"/>
      <c r="G620" s="48" t="s">
        <v>139</v>
      </c>
      <c r="H620" s="45" t="str">
        <f>H592-H619</f>
        <v>#DIV/0!</v>
      </c>
      <c r="I620" s="45" t="str">
        <f t="shared" si="104"/>
        <v>#DIV/0!</v>
      </c>
      <c r="J620" s="49" t="str">
        <f t="shared" si="105"/>
        <v>#DIV/0!</v>
      </c>
      <c r="K620" s="45"/>
      <c r="L620" s="45"/>
      <c r="M620" s="45"/>
      <c r="N620" s="45"/>
      <c r="O620" s="45"/>
      <c r="P620" s="50"/>
    </row>
    <row r="621">
      <c r="A621" s="51"/>
      <c r="B621" s="51"/>
      <c r="D621" s="51"/>
    </row>
    <row r="622">
      <c r="D622" s="51"/>
      <c r="I622" s="51"/>
    </row>
    <row r="623">
      <c r="D623" s="51"/>
      <c r="I623" s="51"/>
    </row>
    <row r="624">
      <c r="A624" s="51"/>
      <c r="D624" s="51"/>
      <c r="G624" s="51"/>
    </row>
    <row r="625">
      <c r="A625" s="51"/>
      <c r="G625" s="51"/>
    </row>
    <row r="626">
      <c r="A626" s="51"/>
      <c r="D626" s="51"/>
      <c r="G626" s="51"/>
    </row>
    <row r="627">
      <c r="A627" s="51"/>
      <c r="D627" s="51"/>
      <c r="G627" s="51"/>
    </row>
    <row r="628">
      <c r="A628" s="51"/>
      <c r="D628" s="51"/>
      <c r="G628" s="51"/>
    </row>
    <row r="629">
      <c r="A629" s="51"/>
      <c r="D629" s="51"/>
      <c r="G629" s="51"/>
    </row>
    <row r="630">
      <c r="A630" s="6" t="s">
        <v>70</v>
      </c>
      <c r="B630" s="52"/>
      <c r="C630" s="8"/>
      <c r="D630" s="9" t="s">
        <v>71</v>
      </c>
      <c r="E630" s="10"/>
      <c r="F630" s="10"/>
      <c r="G630" s="10"/>
      <c r="H630" s="10"/>
      <c r="I630" s="10"/>
      <c r="J630" s="10"/>
      <c r="K630" s="9"/>
      <c r="L630" s="10"/>
      <c r="M630" s="10"/>
      <c r="N630" s="10"/>
      <c r="O630" s="10"/>
      <c r="P630" s="11"/>
    </row>
    <row r="631">
      <c r="A631" s="12" t="s">
        <v>72</v>
      </c>
      <c r="B631" s="13">
        <v>1000000.0</v>
      </c>
      <c r="C631" s="14"/>
      <c r="D631" s="53" t="str">
        <f>B630</f>
        <v/>
      </c>
      <c r="E631" s="16" t="s">
        <v>73</v>
      </c>
      <c r="F631" s="17"/>
      <c r="G631" s="16" t="s">
        <v>74</v>
      </c>
      <c r="H631" s="16" t="s">
        <v>75</v>
      </c>
      <c r="I631" s="16" t="s">
        <v>76</v>
      </c>
      <c r="J631" s="18" t="s">
        <v>77</v>
      </c>
      <c r="P631" s="19"/>
    </row>
    <row r="632">
      <c r="A632" s="12" t="s">
        <v>78</v>
      </c>
      <c r="B632" s="13">
        <v>1000000.0</v>
      </c>
      <c r="C632" s="14"/>
      <c r="D632" s="20" t="s">
        <v>72</v>
      </c>
      <c r="E632" s="21">
        <f t="shared" ref="E632:E633" si="106">B631</f>
        <v>1000000</v>
      </c>
      <c r="F632" s="20" t="s">
        <v>79</v>
      </c>
      <c r="G632" s="21">
        <f t="shared" ref="G632:G633" si="107">B634</f>
        <v>4</v>
      </c>
      <c r="H632" s="4">
        <f>G632+(G633/60)</f>
        <v>4.166666667</v>
      </c>
      <c r="I632" s="21">
        <f>B639</f>
        <v>6</v>
      </c>
      <c r="J632" s="22" t="s">
        <v>80</v>
      </c>
      <c r="K632" s="23">
        <f>B641/B642</f>
        <v>0</v>
      </c>
      <c r="P632" s="19"/>
    </row>
    <row r="633">
      <c r="A633" s="12" t="s">
        <v>81</v>
      </c>
      <c r="B633" s="14"/>
      <c r="C633" s="14"/>
      <c r="D633" s="20" t="s">
        <v>78</v>
      </c>
      <c r="E633" s="21">
        <f t="shared" si="106"/>
        <v>1000000</v>
      </c>
      <c r="F633" s="20" t="s">
        <v>82</v>
      </c>
      <c r="G633" s="21">
        <f t="shared" si="107"/>
        <v>10</v>
      </c>
      <c r="J633" s="22" t="s">
        <v>83</v>
      </c>
      <c r="K633" s="23">
        <f>B643/B644</f>
        <v>0</v>
      </c>
      <c r="P633" s="19"/>
    </row>
    <row r="634">
      <c r="A634" s="24" t="s">
        <v>79</v>
      </c>
      <c r="B634" s="13">
        <v>4.0</v>
      </c>
      <c r="C634" s="14"/>
      <c r="D634" s="20" t="s">
        <v>84</v>
      </c>
      <c r="E634" s="25">
        <f>E632-E633</f>
        <v>0</v>
      </c>
      <c r="F634" s="26"/>
      <c r="G634" s="16" t="s">
        <v>85</v>
      </c>
      <c r="H634" s="16" t="s">
        <v>86</v>
      </c>
      <c r="I634" s="16" t="s">
        <v>87</v>
      </c>
      <c r="J634" s="22" t="s">
        <v>88</v>
      </c>
      <c r="K634" s="23">
        <f>B645/B646</f>
        <v>0</v>
      </c>
      <c r="P634" s="19"/>
    </row>
    <row r="635">
      <c r="A635" s="24" t="s">
        <v>89</v>
      </c>
      <c r="B635" s="13">
        <v>10.0</v>
      </c>
      <c r="C635" s="14"/>
      <c r="D635" s="16" t="s">
        <v>90</v>
      </c>
      <c r="F635" s="20" t="s">
        <v>79</v>
      </c>
      <c r="G635" s="21">
        <f t="shared" ref="G635:G636" si="108">B637</f>
        <v>4</v>
      </c>
      <c r="H635" s="25">
        <f>G635+(G636/60)</f>
        <v>4.166666667</v>
      </c>
      <c r="I635" s="25">
        <f>H632-H635</f>
        <v>0</v>
      </c>
      <c r="J635" s="22" t="s">
        <v>91</v>
      </c>
      <c r="K635" s="23">
        <f>B647/B648</f>
        <v>0</v>
      </c>
      <c r="P635" s="19"/>
    </row>
    <row r="636">
      <c r="A636" s="12" t="s">
        <v>85</v>
      </c>
      <c r="B636" s="27"/>
      <c r="C636" s="14"/>
      <c r="D636" s="28" t="s">
        <v>92</v>
      </c>
      <c r="E636" s="25">
        <f>E632/H641</f>
        <v>218181.8182</v>
      </c>
      <c r="F636" s="20" t="s">
        <v>82</v>
      </c>
      <c r="G636" s="21">
        <f t="shared" si="108"/>
        <v>10</v>
      </c>
      <c r="J636" s="22" t="s">
        <v>93</v>
      </c>
      <c r="K636" s="23">
        <f>B649/B650</f>
        <v>0</v>
      </c>
      <c r="P636" s="19"/>
    </row>
    <row r="637">
      <c r="A637" s="24" t="s">
        <v>79</v>
      </c>
      <c r="B637" s="13">
        <v>4.0</v>
      </c>
      <c r="C637" s="14"/>
      <c r="D637" s="28" t="s">
        <v>94</v>
      </c>
      <c r="E637" s="25">
        <f>E632/I632</f>
        <v>166666.6667</v>
      </c>
      <c r="J637" s="22" t="s">
        <v>95</v>
      </c>
      <c r="K637" s="23">
        <f>B651/B652</f>
        <v>0</v>
      </c>
      <c r="P637" s="19"/>
    </row>
    <row r="638">
      <c r="A638" s="24" t="s">
        <v>89</v>
      </c>
      <c r="B638" s="13">
        <v>10.0</v>
      </c>
      <c r="C638" s="14"/>
      <c r="D638" s="28" t="s">
        <v>96</v>
      </c>
      <c r="E638" s="25">
        <f>E636/I632</f>
        <v>36363.63636</v>
      </c>
      <c r="J638" s="29" t="s">
        <v>97</v>
      </c>
      <c r="K638" s="30">
        <f>SUM(K632:K637)</f>
        <v>0</v>
      </c>
      <c r="P638" s="19"/>
    </row>
    <row r="639">
      <c r="A639" s="12" t="s">
        <v>98</v>
      </c>
      <c r="B639" s="13">
        <v>6.0</v>
      </c>
      <c r="C639" s="14"/>
      <c r="D639" s="28" t="s">
        <v>99</v>
      </c>
      <c r="E639" s="31">
        <f>E638/12</f>
        <v>3030.30303</v>
      </c>
      <c r="I639" s="29"/>
      <c r="J639" s="29" t="s">
        <v>100</v>
      </c>
      <c r="K639" s="30">
        <f>H649</f>
        <v>0</v>
      </c>
      <c r="P639" s="19"/>
    </row>
    <row r="640">
      <c r="A640" s="32"/>
      <c r="B640" s="14"/>
      <c r="C640" s="14"/>
      <c r="D640" s="28" t="s">
        <v>101</v>
      </c>
      <c r="E640" s="25">
        <f>E639*5</f>
        <v>15151.51515</v>
      </c>
      <c r="J640" s="29" t="s">
        <v>102</v>
      </c>
      <c r="K640" s="30">
        <f>E641</f>
        <v>18181.81818</v>
      </c>
      <c r="P640" s="19"/>
    </row>
    <row r="641">
      <c r="A641" s="33" t="s">
        <v>103</v>
      </c>
      <c r="B641" s="34">
        <v>0.0</v>
      </c>
      <c r="C641" s="14"/>
      <c r="D641" s="28" t="s">
        <v>104</v>
      </c>
      <c r="E641" s="25">
        <f>E639*6</f>
        <v>18181.81818</v>
      </c>
      <c r="G641" s="35" t="s">
        <v>105</v>
      </c>
      <c r="H641" s="36">
        <f>H632+(25/60)</f>
        <v>4.583333333</v>
      </c>
      <c r="J641" s="29" t="s">
        <v>106</v>
      </c>
      <c r="K641" s="30">
        <f>E649</f>
        <v>20000</v>
      </c>
      <c r="P641" s="19"/>
    </row>
    <row r="642">
      <c r="A642" s="37" t="s">
        <v>107</v>
      </c>
      <c r="B642" s="38">
        <v>1.0</v>
      </c>
      <c r="C642" s="14"/>
      <c r="G642" s="35" t="s">
        <v>108</v>
      </c>
      <c r="H642" s="36">
        <f>I635+(25/60)</f>
        <v>0.4166666667</v>
      </c>
      <c r="I642" s="39" t="s">
        <v>109</v>
      </c>
      <c r="P642" s="19"/>
    </row>
    <row r="643">
      <c r="A643" s="40" t="s">
        <v>110</v>
      </c>
      <c r="B643" s="13">
        <v>0.0</v>
      </c>
      <c r="C643" s="14"/>
      <c r="D643" s="16" t="s">
        <v>111</v>
      </c>
      <c r="G643" s="16" t="s">
        <v>112</v>
      </c>
      <c r="H643" s="36"/>
      <c r="I643" s="39" t="s">
        <v>113</v>
      </c>
      <c r="P643" s="19"/>
    </row>
    <row r="644">
      <c r="A644" s="37" t="s">
        <v>114</v>
      </c>
      <c r="B644" s="38">
        <v>1.0</v>
      </c>
      <c r="C644" s="14"/>
      <c r="D644" s="28" t="s">
        <v>92</v>
      </c>
      <c r="E644" s="25">
        <f>E633/H635</f>
        <v>240000</v>
      </c>
      <c r="G644" s="28" t="s">
        <v>92</v>
      </c>
      <c r="H644" s="36">
        <f>E634/H642</f>
        <v>0</v>
      </c>
      <c r="I644" s="39" t="s">
        <v>115</v>
      </c>
      <c r="P644" s="19"/>
    </row>
    <row r="645">
      <c r="A645" s="40" t="s">
        <v>116</v>
      </c>
      <c r="B645" s="13">
        <v>0.0</v>
      </c>
      <c r="C645" s="14"/>
      <c r="D645" s="28" t="s">
        <v>94</v>
      </c>
      <c r="E645" s="25">
        <f>E633/I632</f>
        <v>166666.6667</v>
      </c>
      <c r="G645" s="28" t="s">
        <v>94</v>
      </c>
      <c r="H645" s="36">
        <f>E634/I632</f>
        <v>0</v>
      </c>
      <c r="I645" s="39" t="s">
        <v>117</v>
      </c>
      <c r="P645" s="19"/>
    </row>
    <row r="646">
      <c r="A646" s="37" t="s">
        <v>118</v>
      </c>
      <c r="B646" s="38">
        <v>1.0</v>
      </c>
      <c r="C646" s="14"/>
      <c r="D646" s="28" t="s">
        <v>96</v>
      </c>
      <c r="E646" s="25">
        <f>E645/H635</f>
        <v>40000</v>
      </c>
      <c r="G646" s="28" t="s">
        <v>96</v>
      </c>
      <c r="H646" s="36">
        <f>H645/H642</f>
        <v>0</v>
      </c>
      <c r="P646" s="19"/>
    </row>
    <row r="647">
      <c r="A647" s="40" t="s">
        <v>119</v>
      </c>
      <c r="B647" s="13">
        <v>0.0</v>
      </c>
      <c r="C647" s="14"/>
      <c r="D647" s="28" t="s">
        <v>99</v>
      </c>
      <c r="E647" s="25">
        <f>E646/12</f>
        <v>3333.333333</v>
      </c>
      <c r="G647" s="28" t="s">
        <v>99</v>
      </c>
      <c r="H647" s="36">
        <f>H646/12</f>
        <v>0</v>
      </c>
      <c r="P647" s="19"/>
    </row>
    <row r="648">
      <c r="A648" s="37" t="s">
        <v>120</v>
      </c>
      <c r="B648" s="38">
        <v>1.0</v>
      </c>
      <c r="C648" s="14"/>
      <c r="D648" s="28" t="s">
        <v>101</v>
      </c>
      <c r="E648" s="25">
        <f>E647*5</f>
        <v>16666.66667</v>
      </c>
      <c r="G648" s="28" t="s">
        <v>101</v>
      </c>
      <c r="H648" s="36">
        <f>H647*5</f>
        <v>0</v>
      </c>
      <c r="P648" s="19"/>
    </row>
    <row r="649">
      <c r="A649" s="40" t="s">
        <v>121</v>
      </c>
      <c r="B649" s="13">
        <v>0.0</v>
      </c>
      <c r="C649" s="14"/>
      <c r="D649" s="28" t="s">
        <v>104</v>
      </c>
      <c r="E649" s="25">
        <f>E647*6</f>
        <v>20000</v>
      </c>
      <c r="G649" s="28" t="s">
        <v>104</v>
      </c>
      <c r="H649" s="36">
        <f>H647*6</f>
        <v>0</v>
      </c>
      <c r="P649" s="19"/>
    </row>
    <row r="650">
      <c r="A650" s="37" t="s">
        <v>122</v>
      </c>
      <c r="B650" s="38">
        <v>1.0</v>
      </c>
      <c r="C650" s="14"/>
      <c r="P650" s="19"/>
    </row>
    <row r="651">
      <c r="A651" s="40" t="s">
        <v>123</v>
      </c>
      <c r="B651" s="13">
        <v>0.0</v>
      </c>
      <c r="C651" s="14"/>
      <c r="D651" s="28" t="s">
        <v>124</v>
      </c>
      <c r="E651" s="41"/>
      <c r="F651" s="41"/>
      <c r="P651" s="19"/>
    </row>
    <row r="652">
      <c r="A652" s="37" t="s">
        <v>125</v>
      </c>
      <c r="B652" s="38">
        <v>1.0</v>
      </c>
      <c r="C652" s="14"/>
      <c r="D652" s="4" t="s">
        <v>126</v>
      </c>
      <c r="E652" s="25">
        <f t="shared" ref="E652:E655" si="109">H646-E646</f>
        <v>-40000</v>
      </c>
      <c r="P652" s="19"/>
    </row>
    <row r="653">
      <c r="A653" s="42" t="s">
        <v>127</v>
      </c>
      <c r="C653" s="14"/>
      <c r="D653" s="4" t="s">
        <v>128</v>
      </c>
      <c r="E653" s="25">
        <f t="shared" si="109"/>
        <v>-3333.333333</v>
      </c>
      <c r="P653" s="19"/>
    </row>
    <row r="654">
      <c r="A654" s="32"/>
      <c r="C654" s="14"/>
      <c r="D654" s="4" t="s">
        <v>129</v>
      </c>
      <c r="E654" s="25">
        <f t="shared" si="109"/>
        <v>-16666.66667</v>
      </c>
      <c r="G654" s="43"/>
      <c r="P654" s="19"/>
    </row>
    <row r="655">
      <c r="A655" s="32"/>
      <c r="C655" s="14"/>
      <c r="D655" s="4" t="s">
        <v>130</v>
      </c>
      <c r="E655" s="25">
        <f t="shared" si="109"/>
        <v>-20000</v>
      </c>
      <c r="P655" s="19"/>
    </row>
    <row r="656">
      <c r="A656" s="24"/>
      <c r="C656" s="14"/>
      <c r="D656" s="28" t="s">
        <v>131</v>
      </c>
      <c r="P656" s="19"/>
    </row>
    <row r="657">
      <c r="A657" s="32"/>
      <c r="C657" s="14"/>
      <c r="D657" s="4" t="s">
        <v>132</v>
      </c>
      <c r="E657" s="25">
        <f t="shared" ref="E657:E660" si="110">H646-E638</f>
        <v>-36363.63636</v>
      </c>
      <c r="P657" s="19"/>
    </row>
    <row r="658">
      <c r="A658" s="32"/>
      <c r="C658" s="14"/>
      <c r="D658" s="4" t="s">
        <v>133</v>
      </c>
      <c r="E658" s="25">
        <f t="shared" si="110"/>
        <v>-3030.30303</v>
      </c>
      <c r="G658" s="28" t="s">
        <v>134</v>
      </c>
      <c r="I658" s="35" t="s">
        <v>135</v>
      </c>
      <c r="J658" s="35" t="s">
        <v>82</v>
      </c>
      <c r="P658" s="19"/>
    </row>
    <row r="659">
      <c r="A659" s="32"/>
      <c r="C659" s="14"/>
      <c r="D659" s="4" t="s">
        <v>136</v>
      </c>
      <c r="E659" s="25">
        <f t="shared" si="110"/>
        <v>-15151.51515</v>
      </c>
      <c r="G659" s="35" t="s">
        <v>137</v>
      </c>
      <c r="H659" s="25" t="str">
        <f>(E632/H644)-(25/60)</f>
        <v>#DIV/0!</v>
      </c>
      <c r="I659" s="25" t="str">
        <f t="shared" ref="I659:I660" si="111">INT(H659)</f>
        <v>#DIV/0!</v>
      </c>
      <c r="J659" s="36" t="str">
        <f t="shared" ref="J659:J660" si="112">INT((H659-I659)*60)</f>
        <v>#DIV/0!</v>
      </c>
      <c r="P659" s="19"/>
    </row>
    <row r="660">
      <c r="A660" s="44"/>
      <c r="B660" s="45"/>
      <c r="C660" s="46"/>
      <c r="D660" s="47" t="s">
        <v>138</v>
      </c>
      <c r="E660" s="45">
        <f t="shared" si="110"/>
        <v>-18181.81818</v>
      </c>
      <c r="F660" s="45"/>
      <c r="G660" s="48" t="s">
        <v>139</v>
      </c>
      <c r="H660" s="45" t="str">
        <f>H632-H659</f>
        <v>#DIV/0!</v>
      </c>
      <c r="I660" s="45" t="str">
        <f t="shared" si="111"/>
        <v>#DIV/0!</v>
      </c>
      <c r="J660" s="49" t="str">
        <f t="shared" si="112"/>
        <v>#DIV/0!</v>
      </c>
      <c r="K660" s="45"/>
      <c r="L660" s="45"/>
      <c r="M660" s="45"/>
      <c r="N660" s="45"/>
      <c r="O660" s="45"/>
      <c r="P660" s="50"/>
    </row>
    <row r="661">
      <c r="A661" s="51"/>
      <c r="B661" s="51"/>
      <c r="D661" s="51"/>
    </row>
    <row r="662">
      <c r="D662" s="51"/>
      <c r="I662" s="51"/>
    </row>
    <row r="663">
      <c r="D663" s="51"/>
      <c r="I663" s="51"/>
    </row>
    <row r="664">
      <c r="D664" s="51"/>
      <c r="G664" s="51"/>
    </row>
    <row r="665">
      <c r="G665" s="51"/>
    </row>
    <row r="666">
      <c r="D666" s="51"/>
      <c r="G666" s="51"/>
    </row>
    <row r="667">
      <c r="D667" s="51"/>
      <c r="G667" s="51"/>
    </row>
    <row r="668">
      <c r="D668" s="51"/>
      <c r="G668" s="51"/>
    </row>
    <row r="669">
      <c r="D669" s="51"/>
      <c r="G669" s="51"/>
    </row>
    <row r="670">
      <c r="A670" s="6" t="s">
        <v>70</v>
      </c>
      <c r="B670" s="52"/>
      <c r="C670" s="8"/>
      <c r="D670" s="9" t="s">
        <v>71</v>
      </c>
      <c r="E670" s="10"/>
      <c r="F670" s="10"/>
      <c r="G670" s="10"/>
      <c r="H670" s="10"/>
      <c r="I670" s="10"/>
      <c r="J670" s="10"/>
      <c r="K670" s="9"/>
      <c r="L670" s="10"/>
      <c r="M670" s="10"/>
      <c r="N670" s="10"/>
      <c r="O670" s="10"/>
      <c r="P670" s="11"/>
    </row>
    <row r="671">
      <c r="A671" s="12" t="s">
        <v>72</v>
      </c>
      <c r="B671" s="13">
        <v>1000000.0</v>
      </c>
      <c r="C671" s="14"/>
      <c r="D671" s="53" t="str">
        <f>B670</f>
        <v/>
      </c>
      <c r="E671" s="16" t="s">
        <v>73</v>
      </c>
      <c r="F671" s="17"/>
      <c r="G671" s="16" t="s">
        <v>74</v>
      </c>
      <c r="H671" s="16" t="s">
        <v>75</v>
      </c>
      <c r="I671" s="16" t="s">
        <v>76</v>
      </c>
      <c r="J671" s="18" t="s">
        <v>77</v>
      </c>
      <c r="P671" s="19"/>
    </row>
    <row r="672">
      <c r="A672" s="12" t="s">
        <v>78</v>
      </c>
      <c r="B672" s="13">
        <v>1000000.0</v>
      </c>
      <c r="C672" s="14"/>
      <c r="D672" s="20" t="s">
        <v>72</v>
      </c>
      <c r="E672" s="21">
        <f t="shared" ref="E672:E673" si="113">B671</f>
        <v>1000000</v>
      </c>
      <c r="F672" s="20" t="s">
        <v>79</v>
      </c>
      <c r="G672" s="21">
        <f t="shared" ref="G672:G673" si="114">B674</f>
        <v>4</v>
      </c>
      <c r="H672" s="4">
        <f>G672+(G673/60)</f>
        <v>4.166666667</v>
      </c>
      <c r="I672" s="21">
        <f>B679</f>
        <v>6</v>
      </c>
      <c r="J672" s="22" t="s">
        <v>80</v>
      </c>
      <c r="K672" s="23">
        <f>B681/B682</f>
        <v>0</v>
      </c>
      <c r="P672" s="19"/>
    </row>
    <row r="673">
      <c r="A673" s="12" t="s">
        <v>81</v>
      </c>
      <c r="B673" s="14"/>
      <c r="C673" s="14"/>
      <c r="D673" s="20" t="s">
        <v>78</v>
      </c>
      <c r="E673" s="21">
        <f t="shared" si="113"/>
        <v>1000000</v>
      </c>
      <c r="F673" s="20" t="s">
        <v>82</v>
      </c>
      <c r="G673" s="21">
        <f t="shared" si="114"/>
        <v>10</v>
      </c>
      <c r="J673" s="22" t="s">
        <v>83</v>
      </c>
      <c r="K673" s="23">
        <f>B683/B684</f>
        <v>0</v>
      </c>
      <c r="P673" s="19"/>
    </row>
    <row r="674">
      <c r="A674" s="24" t="s">
        <v>79</v>
      </c>
      <c r="B674" s="13">
        <v>4.0</v>
      </c>
      <c r="C674" s="14"/>
      <c r="D674" s="20" t="s">
        <v>84</v>
      </c>
      <c r="E674" s="25">
        <f>E672-E673</f>
        <v>0</v>
      </c>
      <c r="F674" s="26"/>
      <c r="G674" s="16" t="s">
        <v>85</v>
      </c>
      <c r="H674" s="16" t="s">
        <v>86</v>
      </c>
      <c r="I674" s="16" t="s">
        <v>87</v>
      </c>
      <c r="J674" s="22" t="s">
        <v>88</v>
      </c>
      <c r="K674" s="23">
        <f>B685/B686</f>
        <v>0</v>
      </c>
      <c r="P674" s="19"/>
    </row>
    <row r="675">
      <c r="A675" s="24" t="s">
        <v>89</v>
      </c>
      <c r="B675" s="13">
        <v>10.0</v>
      </c>
      <c r="C675" s="14"/>
      <c r="D675" s="16" t="s">
        <v>90</v>
      </c>
      <c r="F675" s="20" t="s">
        <v>79</v>
      </c>
      <c r="G675" s="21">
        <f t="shared" ref="G675:G676" si="115">B677</f>
        <v>4</v>
      </c>
      <c r="H675" s="25">
        <f>G675+(G676/60)</f>
        <v>4.166666667</v>
      </c>
      <c r="I675" s="25">
        <f>H672-H675</f>
        <v>0</v>
      </c>
      <c r="J675" s="22" t="s">
        <v>91</v>
      </c>
      <c r="K675" s="23">
        <f>B687/B688</f>
        <v>0</v>
      </c>
      <c r="P675" s="19"/>
    </row>
    <row r="676">
      <c r="A676" s="12" t="s">
        <v>85</v>
      </c>
      <c r="B676" s="27"/>
      <c r="C676" s="14"/>
      <c r="D676" s="28" t="s">
        <v>92</v>
      </c>
      <c r="E676" s="25">
        <f>E672/H681</f>
        <v>218181.8182</v>
      </c>
      <c r="F676" s="20" t="s">
        <v>82</v>
      </c>
      <c r="G676" s="21">
        <f t="shared" si="115"/>
        <v>10</v>
      </c>
      <c r="J676" s="22" t="s">
        <v>93</v>
      </c>
      <c r="K676" s="23">
        <f>B689/B690</f>
        <v>0</v>
      </c>
      <c r="P676" s="19"/>
    </row>
    <row r="677">
      <c r="A677" s="24" t="s">
        <v>79</v>
      </c>
      <c r="B677" s="13">
        <v>4.0</v>
      </c>
      <c r="C677" s="14"/>
      <c r="D677" s="28" t="s">
        <v>94</v>
      </c>
      <c r="E677" s="25">
        <f>E672/I672</f>
        <v>166666.6667</v>
      </c>
      <c r="J677" s="22" t="s">
        <v>95</v>
      </c>
      <c r="K677" s="23">
        <f>B691/B692</f>
        <v>0</v>
      </c>
      <c r="P677" s="19"/>
    </row>
    <row r="678">
      <c r="A678" s="24" t="s">
        <v>89</v>
      </c>
      <c r="B678" s="13">
        <v>10.0</v>
      </c>
      <c r="C678" s="14"/>
      <c r="D678" s="28" t="s">
        <v>96</v>
      </c>
      <c r="E678" s="25">
        <f>E676/I672</f>
        <v>36363.63636</v>
      </c>
      <c r="J678" s="29" t="s">
        <v>97</v>
      </c>
      <c r="K678" s="30">
        <f>SUM(K672:K677)</f>
        <v>0</v>
      </c>
      <c r="P678" s="19"/>
    </row>
    <row r="679">
      <c r="A679" s="12" t="s">
        <v>98</v>
      </c>
      <c r="B679" s="13">
        <v>6.0</v>
      </c>
      <c r="C679" s="14"/>
      <c r="D679" s="28" t="s">
        <v>99</v>
      </c>
      <c r="E679" s="31">
        <f>E678/12</f>
        <v>3030.30303</v>
      </c>
      <c r="I679" s="29"/>
      <c r="J679" s="29" t="s">
        <v>100</v>
      </c>
      <c r="K679" s="30">
        <f>H689</f>
        <v>0</v>
      </c>
      <c r="P679" s="19"/>
    </row>
    <row r="680">
      <c r="A680" s="32"/>
      <c r="B680" s="14"/>
      <c r="C680" s="14"/>
      <c r="D680" s="28" t="s">
        <v>101</v>
      </c>
      <c r="E680" s="25">
        <f>E679*5</f>
        <v>15151.51515</v>
      </c>
      <c r="J680" s="29" t="s">
        <v>102</v>
      </c>
      <c r="K680" s="30">
        <f>E681</f>
        <v>18181.81818</v>
      </c>
      <c r="P680" s="19"/>
    </row>
    <row r="681">
      <c r="A681" s="33" t="s">
        <v>103</v>
      </c>
      <c r="B681" s="34">
        <v>0.0</v>
      </c>
      <c r="C681" s="14"/>
      <c r="D681" s="28" t="s">
        <v>104</v>
      </c>
      <c r="E681" s="25">
        <f>E679*6</f>
        <v>18181.81818</v>
      </c>
      <c r="G681" s="35" t="s">
        <v>105</v>
      </c>
      <c r="H681" s="36">
        <f>H672+(25/60)</f>
        <v>4.583333333</v>
      </c>
      <c r="J681" s="29" t="s">
        <v>106</v>
      </c>
      <c r="K681" s="30">
        <f>E689</f>
        <v>20000</v>
      </c>
      <c r="P681" s="19"/>
    </row>
    <row r="682">
      <c r="A682" s="37" t="s">
        <v>107</v>
      </c>
      <c r="B682" s="38">
        <v>1.0</v>
      </c>
      <c r="C682" s="14"/>
      <c r="G682" s="35" t="s">
        <v>108</v>
      </c>
      <c r="H682" s="36">
        <f>I675+(25/60)</f>
        <v>0.4166666667</v>
      </c>
      <c r="I682" s="39" t="s">
        <v>109</v>
      </c>
      <c r="P682" s="19"/>
    </row>
    <row r="683">
      <c r="A683" s="40" t="s">
        <v>110</v>
      </c>
      <c r="B683" s="13">
        <v>0.0</v>
      </c>
      <c r="C683" s="14"/>
      <c r="D683" s="16" t="s">
        <v>111</v>
      </c>
      <c r="G683" s="16" t="s">
        <v>112</v>
      </c>
      <c r="H683" s="36"/>
      <c r="I683" s="39" t="s">
        <v>113</v>
      </c>
      <c r="P683" s="19"/>
    </row>
    <row r="684">
      <c r="A684" s="37" t="s">
        <v>114</v>
      </c>
      <c r="B684" s="38">
        <v>1.0</v>
      </c>
      <c r="C684" s="14"/>
      <c r="D684" s="28" t="s">
        <v>92</v>
      </c>
      <c r="E684" s="25">
        <f>E673/H675</f>
        <v>240000</v>
      </c>
      <c r="G684" s="28" t="s">
        <v>92</v>
      </c>
      <c r="H684" s="36">
        <f>E674/H682</f>
        <v>0</v>
      </c>
      <c r="I684" s="39" t="s">
        <v>115</v>
      </c>
      <c r="P684" s="19"/>
    </row>
    <row r="685">
      <c r="A685" s="40" t="s">
        <v>116</v>
      </c>
      <c r="B685" s="13">
        <v>0.0</v>
      </c>
      <c r="C685" s="14"/>
      <c r="D685" s="28" t="s">
        <v>94</v>
      </c>
      <c r="E685" s="25">
        <f>E673/I672</f>
        <v>166666.6667</v>
      </c>
      <c r="G685" s="28" t="s">
        <v>94</v>
      </c>
      <c r="H685" s="36">
        <f>E674/I672</f>
        <v>0</v>
      </c>
      <c r="I685" s="39" t="s">
        <v>117</v>
      </c>
      <c r="P685" s="19"/>
    </row>
    <row r="686">
      <c r="A686" s="37" t="s">
        <v>118</v>
      </c>
      <c r="B686" s="38">
        <v>1.0</v>
      </c>
      <c r="C686" s="14"/>
      <c r="D686" s="28" t="s">
        <v>96</v>
      </c>
      <c r="E686" s="25">
        <f>E685/H675</f>
        <v>40000</v>
      </c>
      <c r="G686" s="28" t="s">
        <v>96</v>
      </c>
      <c r="H686" s="36">
        <f>H685/H682</f>
        <v>0</v>
      </c>
      <c r="P686" s="19"/>
    </row>
    <row r="687">
      <c r="A687" s="40" t="s">
        <v>119</v>
      </c>
      <c r="B687" s="13">
        <v>0.0</v>
      </c>
      <c r="C687" s="14"/>
      <c r="D687" s="28" t="s">
        <v>99</v>
      </c>
      <c r="E687" s="25">
        <f>E686/12</f>
        <v>3333.333333</v>
      </c>
      <c r="G687" s="28" t="s">
        <v>99</v>
      </c>
      <c r="H687" s="36">
        <f>H686/12</f>
        <v>0</v>
      </c>
      <c r="P687" s="19"/>
    </row>
    <row r="688">
      <c r="A688" s="37" t="s">
        <v>120</v>
      </c>
      <c r="B688" s="38">
        <v>1.0</v>
      </c>
      <c r="C688" s="14"/>
      <c r="D688" s="28" t="s">
        <v>101</v>
      </c>
      <c r="E688" s="25">
        <f>E687*5</f>
        <v>16666.66667</v>
      </c>
      <c r="G688" s="28" t="s">
        <v>101</v>
      </c>
      <c r="H688" s="36">
        <f>H687*5</f>
        <v>0</v>
      </c>
      <c r="P688" s="19"/>
    </row>
    <row r="689">
      <c r="A689" s="40" t="s">
        <v>121</v>
      </c>
      <c r="B689" s="13">
        <v>0.0</v>
      </c>
      <c r="C689" s="14"/>
      <c r="D689" s="28" t="s">
        <v>104</v>
      </c>
      <c r="E689" s="25">
        <f>E687*6</f>
        <v>20000</v>
      </c>
      <c r="G689" s="28" t="s">
        <v>104</v>
      </c>
      <c r="H689" s="36">
        <f>H687*6</f>
        <v>0</v>
      </c>
      <c r="P689" s="19"/>
    </row>
    <row r="690">
      <c r="A690" s="37" t="s">
        <v>122</v>
      </c>
      <c r="B690" s="38">
        <v>1.0</v>
      </c>
      <c r="C690" s="14"/>
      <c r="P690" s="19"/>
    </row>
    <row r="691">
      <c r="A691" s="40" t="s">
        <v>123</v>
      </c>
      <c r="B691" s="13">
        <v>0.0</v>
      </c>
      <c r="C691" s="14"/>
      <c r="D691" s="28" t="s">
        <v>124</v>
      </c>
      <c r="E691" s="41"/>
      <c r="F691" s="41"/>
      <c r="P691" s="19"/>
    </row>
    <row r="692">
      <c r="A692" s="37" t="s">
        <v>125</v>
      </c>
      <c r="B692" s="38">
        <v>1.0</v>
      </c>
      <c r="C692" s="14"/>
      <c r="D692" s="4" t="s">
        <v>126</v>
      </c>
      <c r="E692" s="25">
        <f t="shared" ref="E692:E695" si="116">H686-E686</f>
        <v>-40000</v>
      </c>
      <c r="P692" s="19"/>
    </row>
    <row r="693">
      <c r="A693" s="42" t="s">
        <v>127</v>
      </c>
      <c r="C693" s="14"/>
      <c r="D693" s="4" t="s">
        <v>128</v>
      </c>
      <c r="E693" s="25">
        <f t="shared" si="116"/>
        <v>-3333.333333</v>
      </c>
      <c r="P693" s="19"/>
    </row>
    <row r="694">
      <c r="A694" s="32"/>
      <c r="C694" s="14"/>
      <c r="D694" s="4" t="s">
        <v>129</v>
      </c>
      <c r="E694" s="25">
        <f t="shared" si="116"/>
        <v>-16666.66667</v>
      </c>
      <c r="G694" s="43"/>
      <c r="P694" s="19"/>
    </row>
    <row r="695">
      <c r="A695" s="32"/>
      <c r="C695" s="14"/>
      <c r="D695" s="4" t="s">
        <v>130</v>
      </c>
      <c r="E695" s="25">
        <f t="shared" si="116"/>
        <v>-20000</v>
      </c>
      <c r="P695" s="19"/>
    </row>
    <row r="696">
      <c r="A696" s="24"/>
      <c r="C696" s="14"/>
      <c r="D696" s="28" t="s">
        <v>131</v>
      </c>
      <c r="P696" s="19"/>
    </row>
    <row r="697">
      <c r="A697" s="32"/>
      <c r="C697" s="14"/>
      <c r="D697" s="4" t="s">
        <v>132</v>
      </c>
      <c r="E697" s="25">
        <f t="shared" ref="E697:E700" si="117">H686-E678</f>
        <v>-36363.63636</v>
      </c>
      <c r="P697" s="19"/>
    </row>
    <row r="698">
      <c r="A698" s="32"/>
      <c r="C698" s="14"/>
      <c r="D698" s="4" t="s">
        <v>133</v>
      </c>
      <c r="E698" s="25">
        <f t="shared" si="117"/>
        <v>-3030.30303</v>
      </c>
      <c r="G698" s="28" t="s">
        <v>134</v>
      </c>
      <c r="I698" s="35" t="s">
        <v>135</v>
      </c>
      <c r="J698" s="35" t="s">
        <v>82</v>
      </c>
      <c r="P698" s="19"/>
    </row>
    <row r="699">
      <c r="A699" s="32"/>
      <c r="C699" s="14"/>
      <c r="D699" s="4" t="s">
        <v>136</v>
      </c>
      <c r="E699" s="25">
        <f t="shared" si="117"/>
        <v>-15151.51515</v>
      </c>
      <c r="G699" s="35" t="s">
        <v>137</v>
      </c>
      <c r="H699" s="25" t="str">
        <f>(E672/H684)-(25/60)</f>
        <v>#DIV/0!</v>
      </c>
      <c r="I699" s="25" t="str">
        <f t="shared" ref="I699:I700" si="118">INT(H699)</f>
        <v>#DIV/0!</v>
      </c>
      <c r="J699" s="36" t="str">
        <f t="shared" ref="J699:J700" si="119">INT((H699-I699)*60)</f>
        <v>#DIV/0!</v>
      </c>
      <c r="P699" s="19"/>
    </row>
    <row r="700">
      <c r="A700" s="44"/>
      <c r="B700" s="45"/>
      <c r="C700" s="46"/>
      <c r="D700" s="47" t="s">
        <v>138</v>
      </c>
      <c r="E700" s="45">
        <f t="shared" si="117"/>
        <v>-18181.81818</v>
      </c>
      <c r="F700" s="45"/>
      <c r="G700" s="48" t="s">
        <v>139</v>
      </c>
      <c r="H700" s="45" t="str">
        <f>H672-H699</f>
        <v>#DIV/0!</v>
      </c>
      <c r="I700" s="45" t="str">
        <f t="shared" si="118"/>
        <v>#DIV/0!</v>
      </c>
      <c r="J700" s="49" t="str">
        <f t="shared" si="119"/>
        <v>#DIV/0!</v>
      </c>
      <c r="K700" s="45"/>
      <c r="L700" s="45"/>
      <c r="M700" s="45"/>
      <c r="N700" s="45"/>
      <c r="O700" s="45"/>
      <c r="P700" s="50"/>
    </row>
    <row r="701">
      <c r="A701" s="51"/>
      <c r="B701" s="51"/>
      <c r="D701" s="51"/>
    </row>
    <row r="702">
      <c r="D702" s="51"/>
      <c r="I702" s="51"/>
    </row>
    <row r="703">
      <c r="D703" s="51"/>
      <c r="I703" s="51"/>
    </row>
    <row r="704">
      <c r="A704" s="51"/>
      <c r="D704" s="51"/>
      <c r="G704" s="51"/>
    </row>
    <row r="705">
      <c r="A705" s="51"/>
      <c r="G705" s="51"/>
    </row>
    <row r="706">
      <c r="A706" s="51"/>
      <c r="D706" s="51"/>
      <c r="G706" s="51"/>
    </row>
    <row r="707">
      <c r="A707" s="51"/>
      <c r="D707" s="51"/>
      <c r="G707" s="51"/>
    </row>
    <row r="708">
      <c r="A708" s="51"/>
      <c r="D708" s="51"/>
      <c r="G708" s="51"/>
    </row>
    <row r="709">
      <c r="A709" s="51"/>
      <c r="D709" s="51"/>
      <c r="G709" s="51"/>
    </row>
    <row r="710">
      <c r="A710" s="6" t="s">
        <v>70</v>
      </c>
      <c r="B710" s="52"/>
      <c r="C710" s="8"/>
      <c r="D710" s="9" t="s">
        <v>71</v>
      </c>
      <c r="E710" s="10"/>
      <c r="F710" s="10"/>
      <c r="G710" s="10"/>
      <c r="H710" s="10"/>
      <c r="I710" s="10"/>
      <c r="J710" s="10"/>
      <c r="K710" s="9"/>
      <c r="L710" s="10"/>
      <c r="M710" s="10"/>
      <c r="N710" s="10"/>
      <c r="O710" s="10"/>
      <c r="P710" s="11"/>
    </row>
    <row r="711">
      <c r="A711" s="12" t="s">
        <v>72</v>
      </c>
      <c r="B711" s="13">
        <v>1000000.0</v>
      </c>
      <c r="C711" s="14"/>
      <c r="D711" s="53" t="str">
        <f>B710</f>
        <v/>
      </c>
      <c r="E711" s="16" t="s">
        <v>73</v>
      </c>
      <c r="F711" s="17"/>
      <c r="G711" s="16" t="s">
        <v>74</v>
      </c>
      <c r="H711" s="16" t="s">
        <v>75</v>
      </c>
      <c r="I711" s="16" t="s">
        <v>76</v>
      </c>
      <c r="J711" s="18" t="s">
        <v>77</v>
      </c>
      <c r="P711" s="19"/>
    </row>
    <row r="712">
      <c r="A712" s="12" t="s">
        <v>78</v>
      </c>
      <c r="B712" s="13">
        <v>1000000.0</v>
      </c>
      <c r="C712" s="14"/>
      <c r="D712" s="20" t="s">
        <v>72</v>
      </c>
      <c r="E712" s="21">
        <f t="shared" ref="E712:E713" si="120">B711</f>
        <v>1000000</v>
      </c>
      <c r="F712" s="20" t="s">
        <v>79</v>
      </c>
      <c r="G712" s="21">
        <f t="shared" ref="G712:G713" si="121">B714</f>
        <v>4</v>
      </c>
      <c r="H712" s="4">
        <f>G712+(G713/60)</f>
        <v>4.166666667</v>
      </c>
      <c r="I712" s="21">
        <f>B719</f>
        <v>6</v>
      </c>
      <c r="J712" s="22" t="s">
        <v>80</v>
      </c>
      <c r="K712" s="23">
        <f>B721/B722</f>
        <v>0</v>
      </c>
      <c r="P712" s="19"/>
    </row>
    <row r="713">
      <c r="A713" s="12" t="s">
        <v>81</v>
      </c>
      <c r="B713" s="14"/>
      <c r="C713" s="14"/>
      <c r="D713" s="20" t="s">
        <v>78</v>
      </c>
      <c r="E713" s="21">
        <f t="shared" si="120"/>
        <v>1000000</v>
      </c>
      <c r="F713" s="20" t="s">
        <v>82</v>
      </c>
      <c r="G713" s="21">
        <f t="shared" si="121"/>
        <v>10</v>
      </c>
      <c r="J713" s="22" t="s">
        <v>83</v>
      </c>
      <c r="K713" s="23">
        <f>B723/B724</f>
        <v>0</v>
      </c>
      <c r="P713" s="19"/>
    </row>
    <row r="714">
      <c r="A714" s="24" t="s">
        <v>79</v>
      </c>
      <c r="B714" s="13">
        <v>4.0</v>
      </c>
      <c r="C714" s="14"/>
      <c r="D714" s="20" t="s">
        <v>84</v>
      </c>
      <c r="E714" s="25">
        <f>E712-E713</f>
        <v>0</v>
      </c>
      <c r="F714" s="26"/>
      <c r="G714" s="16" t="s">
        <v>85</v>
      </c>
      <c r="H714" s="16" t="s">
        <v>86</v>
      </c>
      <c r="I714" s="16" t="s">
        <v>87</v>
      </c>
      <c r="J714" s="22" t="s">
        <v>88</v>
      </c>
      <c r="K714" s="23">
        <f>B725/B726</f>
        <v>0</v>
      </c>
      <c r="P714" s="19"/>
    </row>
    <row r="715">
      <c r="A715" s="24" t="s">
        <v>89</v>
      </c>
      <c r="B715" s="13">
        <v>10.0</v>
      </c>
      <c r="C715" s="14"/>
      <c r="D715" s="16" t="s">
        <v>90</v>
      </c>
      <c r="F715" s="20" t="s">
        <v>79</v>
      </c>
      <c r="G715" s="21">
        <f t="shared" ref="G715:G716" si="122">B717</f>
        <v>4</v>
      </c>
      <c r="H715" s="25">
        <f>G715+(G716/60)</f>
        <v>4.166666667</v>
      </c>
      <c r="I715" s="25">
        <f>H712-H715</f>
        <v>0</v>
      </c>
      <c r="J715" s="22" t="s">
        <v>91</v>
      </c>
      <c r="K715" s="23">
        <f>B727/B728</f>
        <v>0</v>
      </c>
      <c r="P715" s="19"/>
    </row>
    <row r="716">
      <c r="A716" s="12" t="s">
        <v>85</v>
      </c>
      <c r="B716" s="27"/>
      <c r="C716" s="14"/>
      <c r="D716" s="28" t="s">
        <v>92</v>
      </c>
      <c r="E716" s="25">
        <f>E712/H721</f>
        <v>218181.8182</v>
      </c>
      <c r="F716" s="20" t="s">
        <v>82</v>
      </c>
      <c r="G716" s="21">
        <f t="shared" si="122"/>
        <v>10</v>
      </c>
      <c r="J716" s="22" t="s">
        <v>93</v>
      </c>
      <c r="K716" s="23">
        <f>B729/B730</f>
        <v>0</v>
      </c>
      <c r="P716" s="19"/>
    </row>
    <row r="717">
      <c r="A717" s="24" t="s">
        <v>79</v>
      </c>
      <c r="B717" s="13">
        <v>4.0</v>
      </c>
      <c r="C717" s="14"/>
      <c r="D717" s="28" t="s">
        <v>94</v>
      </c>
      <c r="E717" s="25">
        <f>E712/I712</f>
        <v>166666.6667</v>
      </c>
      <c r="J717" s="22" t="s">
        <v>95</v>
      </c>
      <c r="K717" s="23">
        <f>B731/B732</f>
        <v>0</v>
      </c>
      <c r="P717" s="19"/>
    </row>
    <row r="718">
      <c r="A718" s="24" t="s">
        <v>89</v>
      </c>
      <c r="B718" s="13">
        <v>10.0</v>
      </c>
      <c r="C718" s="14"/>
      <c r="D718" s="28" t="s">
        <v>96</v>
      </c>
      <c r="E718" s="25">
        <f>E716/I712</f>
        <v>36363.63636</v>
      </c>
      <c r="J718" s="29" t="s">
        <v>97</v>
      </c>
      <c r="K718" s="30">
        <f>SUM(K712:K717)</f>
        <v>0</v>
      </c>
      <c r="P718" s="19"/>
    </row>
    <row r="719">
      <c r="A719" s="12" t="s">
        <v>98</v>
      </c>
      <c r="B719" s="13">
        <v>6.0</v>
      </c>
      <c r="C719" s="14"/>
      <c r="D719" s="28" t="s">
        <v>99</v>
      </c>
      <c r="E719" s="31">
        <f>E718/12</f>
        <v>3030.30303</v>
      </c>
      <c r="I719" s="29"/>
      <c r="J719" s="29" t="s">
        <v>100</v>
      </c>
      <c r="K719" s="30">
        <f>H729</f>
        <v>0</v>
      </c>
      <c r="P719" s="19"/>
    </row>
    <row r="720">
      <c r="A720" s="32"/>
      <c r="B720" s="14"/>
      <c r="C720" s="14"/>
      <c r="D720" s="28" t="s">
        <v>101</v>
      </c>
      <c r="E720" s="25">
        <f>E719*5</f>
        <v>15151.51515</v>
      </c>
      <c r="J720" s="29" t="s">
        <v>102</v>
      </c>
      <c r="K720" s="30">
        <f>E721</f>
        <v>18181.81818</v>
      </c>
      <c r="P720" s="19"/>
    </row>
    <row r="721">
      <c r="A721" s="33" t="s">
        <v>103</v>
      </c>
      <c r="B721" s="34">
        <v>0.0</v>
      </c>
      <c r="C721" s="14"/>
      <c r="D721" s="28" t="s">
        <v>104</v>
      </c>
      <c r="E721" s="25">
        <f>E719*6</f>
        <v>18181.81818</v>
      </c>
      <c r="G721" s="35" t="s">
        <v>105</v>
      </c>
      <c r="H721" s="36">
        <f>H712+(25/60)</f>
        <v>4.583333333</v>
      </c>
      <c r="J721" s="29" t="s">
        <v>106</v>
      </c>
      <c r="K721" s="30">
        <f>E729</f>
        <v>20000</v>
      </c>
      <c r="P721" s="19"/>
    </row>
    <row r="722">
      <c r="A722" s="37" t="s">
        <v>107</v>
      </c>
      <c r="B722" s="38">
        <v>1.0</v>
      </c>
      <c r="C722" s="14"/>
      <c r="G722" s="35" t="s">
        <v>108</v>
      </c>
      <c r="H722" s="36">
        <f>I715+(25/60)</f>
        <v>0.4166666667</v>
      </c>
      <c r="I722" s="39" t="s">
        <v>109</v>
      </c>
      <c r="P722" s="19"/>
    </row>
    <row r="723">
      <c r="A723" s="40" t="s">
        <v>110</v>
      </c>
      <c r="B723" s="13">
        <v>0.0</v>
      </c>
      <c r="C723" s="14"/>
      <c r="D723" s="16" t="s">
        <v>111</v>
      </c>
      <c r="G723" s="16" t="s">
        <v>112</v>
      </c>
      <c r="H723" s="36"/>
      <c r="I723" s="39" t="s">
        <v>113</v>
      </c>
      <c r="P723" s="19"/>
    </row>
    <row r="724">
      <c r="A724" s="37" t="s">
        <v>114</v>
      </c>
      <c r="B724" s="38">
        <v>1.0</v>
      </c>
      <c r="C724" s="14"/>
      <c r="D724" s="28" t="s">
        <v>92</v>
      </c>
      <c r="E724" s="25">
        <f>E713/H715</f>
        <v>240000</v>
      </c>
      <c r="G724" s="28" t="s">
        <v>92</v>
      </c>
      <c r="H724" s="36">
        <f>E714/H722</f>
        <v>0</v>
      </c>
      <c r="I724" s="39" t="s">
        <v>115</v>
      </c>
      <c r="P724" s="19"/>
    </row>
    <row r="725">
      <c r="A725" s="40" t="s">
        <v>116</v>
      </c>
      <c r="B725" s="13">
        <v>0.0</v>
      </c>
      <c r="C725" s="14"/>
      <c r="D725" s="28" t="s">
        <v>94</v>
      </c>
      <c r="E725" s="25">
        <f>E713/I712</f>
        <v>166666.6667</v>
      </c>
      <c r="G725" s="28" t="s">
        <v>94</v>
      </c>
      <c r="H725" s="36">
        <f>E714/I712</f>
        <v>0</v>
      </c>
      <c r="I725" s="39" t="s">
        <v>117</v>
      </c>
      <c r="P725" s="19"/>
    </row>
    <row r="726">
      <c r="A726" s="37" t="s">
        <v>118</v>
      </c>
      <c r="B726" s="38">
        <v>1.0</v>
      </c>
      <c r="C726" s="14"/>
      <c r="D726" s="28" t="s">
        <v>96</v>
      </c>
      <c r="E726" s="25">
        <f>E725/H715</f>
        <v>40000</v>
      </c>
      <c r="G726" s="28" t="s">
        <v>96</v>
      </c>
      <c r="H726" s="36">
        <f>H725/H722</f>
        <v>0</v>
      </c>
      <c r="P726" s="19"/>
    </row>
    <row r="727">
      <c r="A727" s="40" t="s">
        <v>119</v>
      </c>
      <c r="B727" s="13">
        <v>0.0</v>
      </c>
      <c r="C727" s="14"/>
      <c r="D727" s="28" t="s">
        <v>99</v>
      </c>
      <c r="E727" s="25">
        <f>E726/12</f>
        <v>3333.333333</v>
      </c>
      <c r="G727" s="28" t="s">
        <v>99</v>
      </c>
      <c r="H727" s="36">
        <f>H726/12</f>
        <v>0</v>
      </c>
      <c r="P727" s="19"/>
    </row>
    <row r="728">
      <c r="A728" s="37" t="s">
        <v>120</v>
      </c>
      <c r="B728" s="38">
        <v>1.0</v>
      </c>
      <c r="C728" s="14"/>
      <c r="D728" s="28" t="s">
        <v>101</v>
      </c>
      <c r="E728" s="25">
        <f>E727*5</f>
        <v>16666.66667</v>
      </c>
      <c r="G728" s="28" t="s">
        <v>101</v>
      </c>
      <c r="H728" s="36">
        <f>H727*5</f>
        <v>0</v>
      </c>
      <c r="P728" s="19"/>
    </row>
    <row r="729">
      <c r="A729" s="40" t="s">
        <v>121</v>
      </c>
      <c r="B729" s="13">
        <v>0.0</v>
      </c>
      <c r="C729" s="14"/>
      <c r="D729" s="28" t="s">
        <v>104</v>
      </c>
      <c r="E729" s="25">
        <f>E727*6</f>
        <v>20000</v>
      </c>
      <c r="G729" s="28" t="s">
        <v>104</v>
      </c>
      <c r="H729" s="36">
        <f>H727*6</f>
        <v>0</v>
      </c>
      <c r="P729" s="19"/>
    </row>
    <row r="730">
      <c r="A730" s="37" t="s">
        <v>122</v>
      </c>
      <c r="B730" s="38">
        <v>1.0</v>
      </c>
      <c r="C730" s="14"/>
      <c r="P730" s="19"/>
    </row>
    <row r="731">
      <c r="A731" s="40" t="s">
        <v>123</v>
      </c>
      <c r="B731" s="13">
        <v>0.0</v>
      </c>
      <c r="C731" s="14"/>
      <c r="D731" s="28" t="s">
        <v>124</v>
      </c>
      <c r="E731" s="41"/>
      <c r="F731" s="41"/>
      <c r="P731" s="19"/>
    </row>
    <row r="732">
      <c r="A732" s="37" t="s">
        <v>125</v>
      </c>
      <c r="B732" s="38">
        <v>1.0</v>
      </c>
      <c r="C732" s="14"/>
      <c r="D732" s="4" t="s">
        <v>126</v>
      </c>
      <c r="E732" s="25">
        <f t="shared" ref="E732:E735" si="123">H726-E726</f>
        <v>-40000</v>
      </c>
      <c r="P732" s="19"/>
    </row>
    <row r="733">
      <c r="A733" s="42" t="s">
        <v>127</v>
      </c>
      <c r="C733" s="14"/>
      <c r="D733" s="4" t="s">
        <v>128</v>
      </c>
      <c r="E733" s="25">
        <f t="shared" si="123"/>
        <v>-3333.333333</v>
      </c>
      <c r="P733" s="19"/>
    </row>
    <row r="734">
      <c r="A734" s="32"/>
      <c r="C734" s="14"/>
      <c r="D734" s="4" t="s">
        <v>129</v>
      </c>
      <c r="E734" s="25">
        <f t="shared" si="123"/>
        <v>-16666.66667</v>
      </c>
      <c r="G734" s="43"/>
      <c r="P734" s="19"/>
    </row>
    <row r="735">
      <c r="A735" s="32"/>
      <c r="C735" s="14"/>
      <c r="D735" s="4" t="s">
        <v>130</v>
      </c>
      <c r="E735" s="25">
        <f t="shared" si="123"/>
        <v>-20000</v>
      </c>
      <c r="P735" s="19"/>
    </row>
    <row r="736">
      <c r="A736" s="24"/>
      <c r="C736" s="14"/>
      <c r="D736" s="28" t="s">
        <v>131</v>
      </c>
      <c r="P736" s="19"/>
    </row>
    <row r="737">
      <c r="A737" s="32"/>
      <c r="C737" s="14"/>
      <c r="D737" s="4" t="s">
        <v>132</v>
      </c>
      <c r="E737" s="25">
        <f t="shared" ref="E737:E740" si="124">H726-E718</f>
        <v>-36363.63636</v>
      </c>
      <c r="P737" s="19"/>
    </row>
    <row r="738">
      <c r="A738" s="32"/>
      <c r="C738" s="14"/>
      <c r="D738" s="4" t="s">
        <v>133</v>
      </c>
      <c r="E738" s="25">
        <f t="shared" si="124"/>
        <v>-3030.30303</v>
      </c>
      <c r="G738" s="28" t="s">
        <v>134</v>
      </c>
      <c r="I738" s="35" t="s">
        <v>135</v>
      </c>
      <c r="J738" s="35" t="s">
        <v>82</v>
      </c>
      <c r="P738" s="19"/>
    </row>
    <row r="739">
      <c r="A739" s="32"/>
      <c r="C739" s="14"/>
      <c r="D739" s="4" t="s">
        <v>136</v>
      </c>
      <c r="E739" s="25">
        <f t="shared" si="124"/>
        <v>-15151.51515</v>
      </c>
      <c r="G739" s="35" t="s">
        <v>137</v>
      </c>
      <c r="H739" s="25" t="str">
        <f>(E712/H724)-(25/60)</f>
        <v>#DIV/0!</v>
      </c>
      <c r="I739" s="25" t="str">
        <f t="shared" ref="I739:I740" si="125">INT(H739)</f>
        <v>#DIV/0!</v>
      </c>
      <c r="J739" s="36" t="str">
        <f t="shared" ref="J739:J740" si="126">INT((H739-I739)*60)</f>
        <v>#DIV/0!</v>
      </c>
      <c r="P739" s="19"/>
    </row>
    <row r="740">
      <c r="A740" s="44"/>
      <c r="B740" s="45"/>
      <c r="C740" s="46"/>
      <c r="D740" s="47" t="s">
        <v>138</v>
      </c>
      <c r="E740" s="45">
        <f t="shared" si="124"/>
        <v>-18181.81818</v>
      </c>
      <c r="F740" s="45"/>
      <c r="G740" s="48" t="s">
        <v>139</v>
      </c>
      <c r="H740" s="45" t="str">
        <f>H712-H739</f>
        <v>#DIV/0!</v>
      </c>
      <c r="I740" s="45" t="str">
        <f t="shared" si="125"/>
        <v>#DIV/0!</v>
      </c>
      <c r="J740" s="49" t="str">
        <f t="shared" si="126"/>
        <v>#DIV/0!</v>
      </c>
      <c r="K740" s="45"/>
      <c r="L740" s="45"/>
      <c r="M740" s="45"/>
      <c r="N740" s="45"/>
      <c r="O740" s="45"/>
      <c r="P740" s="50"/>
    </row>
    <row r="742">
      <c r="A742" s="51"/>
      <c r="D742" s="51"/>
    </row>
    <row r="743">
      <c r="A743" s="51"/>
      <c r="B743" s="51"/>
      <c r="E743" s="51"/>
      <c r="G743" s="51"/>
      <c r="H743" s="51"/>
      <c r="I743" s="51"/>
    </row>
    <row r="744">
      <c r="A744" s="51"/>
      <c r="B744" s="51"/>
      <c r="D744" s="51"/>
      <c r="E744" s="51"/>
      <c r="F744" s="51"/>
      <c r="G744" s="51"/>
      <c r="I744" s="51"/>
    </row>
    <row r="745">
      <c r="A745" s="51"/>
      <c r="D745" s="51"/>
      <c r="E745" s="51"/>
      <c r="F745" s="51"/>
      <c r="G745" s="51"/>
    </row>
    <row r="746">
      <c r="A746" s="51"/>
      <c r="B746" s="51"/>
      <c r="D746" s="51"/>
      <c r="G746" s="51"/>
      <c r="H746" s="51"/>
      <c r="I746" s="51"/>
    </row>
    <row r="747">
      <c r="A747" s="51"/>
      <c r="B747" s="51"/>
      <c r="F747" s="51"/>
      <c r="G747" s="51"/>
    </row>
    <row r="748">
      <c r="A748" s="51"/>
      <c r="B748" s="51"/>
      <c r="F748" s="51"/>
      <c r="G748" s="51"/>
    </row>
    <row r="749">
      <c r="A749" s="51"/>
      <c r="B749" s="51"/>
      <c r="D749" s="51"/>
    </row>
    <row r="750">
      <c r="A750" s="6" t="s">
        <v>70</v>
      </c>
      <c r="B750" s="52"/>
      <c r="C750" s="8"/>
      <c r="D750" s="9" t="s">
        <v>71</v>
      </c>
      <c r="E750" s="10"/>
      <c r="F750" s="10"/>
      <c r="G750" s="10"/>
      <c r="H750" s="10"/>
      <c r="I750" s="10"/>
      <c r="J750" s="10"/>
      <c r="K750" s="9"/>
      <c r="L750" s="10"/>
      <c r="M750" s="10"/>
      <c r="N750" s="10"/>
      <c r="O750" s="10"/>
      <c r="P750" s="11"/>
    </row>
    <row r="751">
      <c r="A751" s="12" t="s">
        <v>72</v>
      </c>
      <c r="B751" s="13">
        <v>1000000.0</v>
      </c>
      <c r="C751" s="14"/>
      <c r="D751" s="53" t="str">
        <f>B750</f>
        <v/>
      </c>
      <c r="E751" s="16" t="s">
        <v>73</v>
      </c>
      <c r="F751" s="17"/>
      <c r="G751" s="16" t="s">
        <v>74</v>
      </c>
      <c r="H751" s="16" t="s">
        <v>75</v>
      </c>
      <c r="I751" s="16" t="s">
        <v>76</v>
      </c>
      <c r="J751" s="18" t="s">
        <v>77</v>
      </c>
      <c r="P751" s="19"/>
    </row>
    <row r="752">
      <c r="A752" s="12" t="s">
        <v>78</v>
      </c>
      <c r="B752" s="13">
        <v>1000000.0</v>
      </c>
      <c r="C752" s="14"/>
      <c r="D752" s="20" t="s">
        <v>72</v>
      </c>
      <c r="E752" s="21">
        <f t="shared" ref="E752:E753" si="127">B751</f>
        <v>1000000</v>
      </c>
      <c r="F752" s="20" t="s">
        <v>79</v>
      </c>
      <c r="G752" s="21">
        <f t="shared" ref="G752:G753" si="128">B754</f>
        <v>4</v>
      </c>
      <c r="H752" s="4">
        <f>G752+(G753/60)</f>
        <v>4.166666667</v>
      </c>
      <c r="I752" s="21">
        <f>B759</f>
        <v>6</v>
      </c>
      <c r="J752" s="22" t="s">
        <v>80</v>
      </c>
      <c r="K752" s="23">
        <f>B761/B762</f>
        <v>0</v>
      </c>
      <c r="P752" s="19"/>
    </row>
    <row r="753">
      <c r="A753" s="12" t="s">
        <v>81</v>
      </c>
      <c r="B753" s="14"/>
      <c r="C753" s="14"/>
      <c r="D753" s="20" t="s">
        <v>78</v>
      </c>
      <c r="E753" s="21">
        <f t="shared" si="127"/>
        <v>1000000</v>
      </c>
      <c r="F753" s="20" t="s">
        <v>82</v>
      </c>
      <c r="G753" s="21">
        <f t="shared" si="128"/>
        <v>10</v>
      </c>
      <c r="J753" s="22" t="s">
        <v>83</v>
      </c>
      <c r="K753" s="23">
        <f>B763/B764</f>
        <v>0</v>
      </c>
      <c r="P753" s="19"/>
    </row>
    <row r="754">
      <c r="A754" s="24" t="s">
        <v>79</v>
      </c>
      <c r="B754" s="13">
        <v>4.0</v>
      </c>
      <c r="C754" s="14"/>
      <c r="D754" s="20" t="s">
        <v>84</v>
      </c>
      <c r="E754" s="25">
        <f>E752-E753</f>
        <v>0</v>
      </c>
      <c r="F754" s="26"/>
      <c r="G754" s="16" t="s">
        <v>85</v>
      </c>
      <c r="H754" s="16" t="s">
        <v>86</v>
      </c>
      <c r="I754" s="16" t="s">
        <v>87</v>
      </c>
      <c r="J754" s="22" t="s">
        <v>88</v>
      </c>
      <c r="K754" s="23">
        <f>B765/B766</f>
        <v>0</v>
      </c>
      <c r="P754" s="19"/>
    </row>
    <row r="755">
      <c r="A755" s="24" t="s">
        <v>89</v>
      </c>
      <c r="B755" s="13">
        <v>10.0</v>
      </c>
      <c r="C755" s="14"/>
      <c r="D755" s="16" t="s">
        <v>90</v>
      </c>
      <c r="F755" s="20" t="s">
        <v>79</v>
      </c>
      <c r="G755" s="21">
        <f t="shared" ref="G755:G756" si="129">B757</f>
        <v>4</v>
      </c>
      <c r="H755" s="25">
        <f>G755+(G756/60)</f>
        <v>4.166666667</v>
      </c>
      <c r="I755" s="25">
        <f>H752-H755</f>
        <v>0</v>
      </c>
      <c r="J755" s="22" t="s">
        <v>91</v>
      </c>
      <c r="K755" s="23">
        <f>B767/B768</f>
        <v>0</v>
      </c>
      <c r="P755" s="19"/>
    </row>
    <row r="756">
      <c r="A756" s="12" t="s">
        <v>85</v>
      </c>
      <c r="B756" s="27"/>
      <c r="C756" s="14"/>
      <c r="D756" s="28" t="s">
        <v>92</v>
      </c>
      <c r="E756" s="25">
        <f>E752/H761</f>
        <v>218181.8182</v>
      </c>
      <c r="F756" s="20" t="s">
        <v>82</v>
      </c>
      <c r="G756" s="21">
        <f t="shared" si="129"/>
        <v>10</v>
      </c>
      <c r="J756" s="22" t="s">
        <v>93</v>
      </c>
      <c r="K756" s="23">
        <f>B769/B770</f>
        <v>0</v>
      </c>
      <c r="P756" s="19"/>
    </row>
    <row r="757">
      <c r="A757" s="24" t="s">
        <v>79</v>
      </c>
      <c r="B757" s="13">
        <v>4.0</v>
      </c>
      <c r="C757" s="14"/>
      <c r="D757" s="28" t="s">
        <v>94</v>
      </c>
      <c r="E757" s="25">
        <f>E752/I752</f>
        <v>166666.6667</v>
      </c>
      <c r="J757" s="22" t="s">
        <v>95</v>
      </c>
      <c r="K757" s="23">
        <f>B771/B772</f>
        <v>0</v>
      </c>
      <c r="P757" s="19"/>
    </row>
    <row r="758">
      <c r="A758" s="24" t="s">
        <v>89</v>
      </c>
      <c r="B758" s="13">
        <v>10.0</v>
      </c>
      <c r="C758" s="14"/>
      <c r="D758" s="28" t="s">
        <v>96</v>
      </c>
      <c r="E758" s="25">
        <f>E756/I752</f>
        <v>36363.63636</v>
      </c>
      <c r="J758" s="29" t="s">
        <v>97</v>
      </c>
      <c r="K758" s="30">
        <f>SUM(K752:K757)</f>
        <v>0</v>
      </c>
      <c r="P758" s="19"/>
    </row>
    <row r="759">
      <c r="A759" s="12" t="s">
        <v>98</v>
      </c>
      <c r="B759" s="13">
        <v>6.0</v>
      </c>
      <c r="C759" s="14"/>
      <c r="D759" s="28" t="s">
        <v>99</v>
      </c>
      <c r="E759" s="31">
        <f>E758/12</f>
        <v>3030.30303</v>
      </c>
      <c r="I759" s="29"/>
      <c r="J759" s="29" t="s">
        <v>100</v>
      </c>
      <c r="K759" s="30">
        <f>H769</f>
        <v>0</v>
      </c>
      <c r="P759" s="19"/>
    </row>
    <row r="760">
      <c r="A760" s="32"/>
      <c r="B760" s="14"/>
      <c r="C760" s="14"/>
      <c r="D760" s="28" t="s">
        <v>101</v>
      </c>
      <c r="E760" s="25">
        <f>E759*5</f>
        <v>15151.51515</v>
      </c>
      <c r="J760" s="29" t="s">
        <v>102</v>
      </c>
      <c r="K760" s="30">
        <f>E761</f>
        <v>18181.81818</v>
      </c>
      <c r="P760" s="19"/>
    </row>
    <row r="761">
      <c r="A761" s="33" t="s">
        <v>103</v>
      </c>
      <c r="B761" s="34">
        <v>0.0</v>
      </c>
      <c r="C761" s="14"/>
      <c r="D761" s="28" t="s">
        <v>104</v>
      </c>
      <c r="E761" s="25">
        <f>E759*6</f>
        <v>18181.81818</v>
      </c>
      <c r="G761" s="35" t="s">
        <v>105</v>
      </c>
      <c r="H761" s="36">
        <f>H752+(25/60)</f>
        <v>4.583333333</v>
      </c>
      <c r="J761" s="29" t="s">
        <v>106</v>
      </c>
      <c r="K761" s="30">
        <f>E769</f>
        <v>20000</v>
      </c>
      <c r="P761" s="19"/>
    </row>
    <row r="762">
      <c r="A762" s="37" t="s">
        <v>107</v>
      </c>
      <c r="B762" s="38">
        <v>1.0</v>
      </c>
      <c r="C762" s="14"/>
      <c r="G762" s="35" t="s">
        <v>108</v>
      </c>
      <c r="H762" s="36">
        <f>I755+(25/60)</f>
        <v>0.4166666667</v>
      </c>
      <c r="I762" s="39" t="s">
        <v>109</v>
      </c>
      <c r="P762" s="19"/>
    </row>
    <row r="763">
      <c r="A763" s="40" t="s">
        <v>110</v>
      </c>
      <c r="B763" s="13">
        <v>0.0</v>
      </c>
      <c r="C763" s="14"/>
      <c r="D763" s="16" t="s">
        <v>111</v>
      </c>
      <c r="G763" s="16" t="s">
        <v>112</v>
      </c>
      <c r="H763" s="36"/>
      <c r="I763" s="39" t="s">
        <v>113</v>
      </c>
      <c r="P763" s="19"/>
    </row>
    <row r="764">
      <c r="A764" s="37" t="s">
        <v>114</v>
      </c>
      <c r="B764" s="38">
        <v>1.0</v>
      </c>
      <c r="C764" s="14"/>
      <c r="D764" s="28" t="s">
        <v>92</v>
      </c>
      <c r="E764" s="25">
        <f>E753/H755</f>
        <v>240000</v>
      </c>
      <c r="G764" s="28" t="s">
        <v>92</v>
      </c>
      <c r="H764" s="36">
        <f>E754/H762</f>
        <v>0</v>
      </c>
      <c r="I764" s="39" t="s">
        <v>115</v>
      </c>
      <c r="P764" s="19"/>
    </row>
    <row r="765">
      <c r="A765" s="40" t="s">
        <v>116</v>
      </c>
      <c r="B765" s="13">
        <v>0.0</v>
      </c>
      <c r="C765" s="14"/>
      <c r="D765" s="28" t="s">
        <v>94</v>
      </c>
      <c r="E765" s="25">
        <f>E753/I752</f>
        <v>166666.6667</v>
      </c>
      <c r="G765" s="28" t="s">
        <v>94</v>
      </c>
      <c r="H765" s="36">
        <f>E754/I752</f>
        <v>0</v>
      </c>
      <c r="I765" s="39" t="s">
        <v>117</v>
      </c>
      <c r="P765" s="19"/>
    </row>
    <row r="766">
      <c r="A766" s="37" t="s">
        <v>118</v>
      </c>
      <c r="B766" s="38">
        <v>1.0</v>
      </c>
      <c r="C766" s="14"/>
      <c r="D766" s="28" t="s">
        <v>96</v>
      </c>
      <c r="E766" s="25">
        <f>E765/H755</f>
        <v>40000</v>
      </c>
      <c r="G766" s="28" t="s">
        <v>96</v>
      </c>
      <c r="H766" s="36">
        <f>H765/H762</f>
        <v>0</v>
      </c>
      <c r="P766" s="19"/>
    </row>
    <row r="767">
      <c r="A767" s="40" t="s">
        <v>119</v>
      </c>
      <c r="B767" s="13">
        <v>0.0</v>
      </c>
      <c r="C767" s="14"/>
      <c r="D767" s="28" t="s">
        <v>99</v>
      </c>
      <c r="E767" s="25">
        <f>E766/12</f>
        <v>3333.333333</v>
      </c>
      <c r="G767" s="28" t="s">
        <v>99</v>
      </c>
      <c r="H767" s="36">
        <f>H766/12</f>
        <v>0</v>
      </c>
      <c r="P767" s="19"/>
    </row>
    <row r="768">
      <c r="A768" s="37" t="s">
        <v>120</v>
      </c>
      <c r="B768" s="38">
        <v>1.0</v>
      </c>
      <c r="C768" s="14"/>
      <c r="D768" s="28" t="s">
        <v>101</v>
      </c>
      <c r="E768" s="25">
        <f>E767*5</f>
        <v>16666.66667</v>
      </c>
      <c r="G768" s="28" t="s">
        <v>101</v>
      </c>
      <c r="H768" s="36">
        <f>H767*5</f>
        <v>0</v>
      </c>
      <c r="P768" s="19"/>
    </row>
    <row r="769">
      <c r="A769" s="40" t="s">
        <v>121</v>
      </c>
      <c r="B769" s="13">
        <v>0.0</v>
      </c>
      <c r="C769" s="14"/>
      <c r="D769" s="28" t="s">
        <v>104</v>
      </c>
      <c r="E769" s="25">
        <f>E767*6</f>
        <v>20000</v>
      </c>
      <c r="G769" s="28" t="s">
        <v>104</v>
      </c>
      <c r="H769" s="36">
        <f>H767*6</f>
        <v>0</v>
      </c>
      <c r="P769" s="19"/>
    </row>
    <row r="770">
      <c r="A770" s="37" t="s">
        <v>122</v>
      </c>
      <c r="B770" s="38">
        <v>1.0</v>
      </c>
      <c r="C770" s="14"/>
      <c r="P770" s="19"/>
    </row>
    <row r="771">
      <c r="A771" s="40" t="s">
        <v>123</v>
      </c>
      <c r="B771" s="13">
        <v>0.0</v>
      </c>
      <c r="C771" s="14"/>
      <c r="D771" s="28" t="s">
        <v>124</v>
      </c>
      <c r="E771" s="41"/>
      <c r="F771" s="41"/>
      <c r="P771" s="19"/>
    </row>
    <row r="772">
      <c r="A772" s="37" t="s">
        <v>125</v>
      </c>
      <c r="B772" s="38">
        <v>1.0</v>
      </c>
      <c r="C772" s="14"/>
      <c r="D772" s="4" t="s">
        <v>126</v>
      </c>
      <c r="E772" s="25">
        <f t="shared" ref="E772:E775" si="130">H766-E766</f>
        <v>-40000</v>
      </c>
      <c r="P772" s="19"/>
    </row>
    <row r="773">
      <c r="A773" s="42" t="s">
        <v>127</v>
      </c>
      <c r="C773" s="14"/>
      <c r="D773" s="4" t="s">
        <v>128</v>
      </c>
      <c r="E773" s="25">
        <f t="shared" si="130"/>
        <v>-3333.333333</v>
      </c>
      <c r="P773" s="19"/>
    </row>
    <row r="774">
      <c r="A774" s="32"/>
      <c r="C774" s="14"/>
      <c r="D774" s="4" t="s">
        <v>129</v>
      </c>
      <c r="E774" s="25">
        <f t="shared" si="130"/>
        <v>-16666.66667</v>
      </c>
      <c r="G774" s="43"/>
      <c r="P774" s="19"/>
    </row>
    <row r="775">
      <c r="A775" s="32"/>
      <c r="C775" s="14"/>
      <c r="D775" s="4" t="s">
        <v>130</v>
      </c>
      <c r="E775" s="25">
        <f t="shared" si="130"/>
        <v>-20000</v>
      </c>
      <c r="P775" s="19"/>
    </row>
    <row r="776">
      <c r="A776" s="24"/>
      <c r="C776" s="14"/>
      <c r="D776" s="28" t="s">
        <v>131</v>
      </c>
      <c r="P776" s="19"/>
    </row>
    <row r="777">
      <c r="A777" s="32"/>
      <c r="C777" s="14"/>
      <c r="D777" s="4" t="s">
        <v>132</v>
      </c>
      <c r="E777" s="25">
        <f t="shared" ref="E777:E780" si="131">H766-E758</f>
        <v>-36363.63636</v>
      </c>
      <c r="P777" s="19"/>
    </row>
    <row r="778">
      <c r="A778" s="32"/>
      <c r="C778" s="14"/>
      <c r="D778" s="4" t="s">
        <v>133</v>
      </c>
      <c r="E778" s="25">
        <f t="shared" si="131"/>
        <v>-3030.30303</v>
      </c>
      <c r="G778" s="28" t="s">
        <v>134</v>
      </c>
      <c r="I778" s="35" t="s">
        <v>135</v>
      </c>
      <c r="J778" s="35" t="s">
        <v>82</v>
      </c>
      <c r="P778" s="19"/>
    </row>
    <row r="779">
      <c r="A779" s="32"/>
      <c r="C779" s="14"/>
      <c r="D779" s="4" t="s">
        <v>136</v>
      </c>
      <c r="E779" s="25">
        <f t="shared" si="131"/>
        <v>-15151.51515</v>
      </c>
      <c r="G779" s="35" t="s">
        <v>137</v>
      </c>
      <c r="H779" s="25" t="str">
        <f>(E752/H764)-(25/60)</f>
        <v>#DIV/0!</v>
      </c>
      <c r="I779" s="25" t="str">
        <f t="shared" ref="I779:I780" si="132">INT(H779)</f>
        <v>#DIV/0!</v>
      </c>
      <c r="J779" s="36" t="str">
        <f t="shared" ref="J779:J780" si="133">INT((H779-I779)*60)</f>
        <v>#DIV/0!</v>
      </c>
      <c r="P779" s="19"/>
    </row>
    <row r="780">
      <c r="A780" s="44"/>
      <c r="B780" s="45"/>
      <c r="C780" s="46"/>
      <c r="D780" s="47" t="s">
        <v>138</v>
      </c>
      <c r="E780" s="45">
        <f t="shared" si="131"/>
        <v>-18181.81818</v>
      </c>
      <c r="F780" s="45"/>
      <c r="G780" s="48" t="s">
        <v>139</v>
      </c>
      <c r="H780" s="45" t="str">
        <f>H752-H779</f>
        <v>#DIV/0!</v>
      </c>
      <c r="I780" s="45" t="str">
        <f t="shared" si="132"/>
        <v>#DIV/0!</v>
      </c>
      <c r="J780" s="49" t="str">
        <f t="shared" si="133"/>
        <v>#DIV/0!</v>
      </c>
      <c r="K780" s="45"/>
      <c r="L780" s="45"/>
      <c r="M780" s="45"/>
      <c r="N780" s="45"/>
      <c r="O780" s="45"/>
      <c r="P780" s="50"/>
    </row>
    <row r="781">
      <c r="A781" s="51"/>
      <c r="B781" s="51"/>
      <c r="D781" s="51"/>
    </row>
    <row r="782">
      <c r="D782" s="51"/>
      <c r="I782" s="51"/>
    </row>
    <row r="783">
      <c r="D783" s="51"/>
      <c r="I783" s="51"/>
    </row>
    <row r="784">
      <c r="A784" s="51"/>
      <c r="D784" s="51"/>
      <c r="G784" s="51"/>
    </row>
    <row r="785">
      <c r="A785" s="51"/>
      <c r="G785" s="51"/>
    </row>
    <row r="786">
      <c r="A786" s="51"/>
      <c r="D786" s="51"/>
      <c r="G786" s="51"/>
    </row>
    <row r="787">
      <c r="A787" s="51"/>
      <c r="D787" s="51"/>
      <c r="G787" s="51"/>
    </row>
    <row r="788">
      <c r="A788" s="51"/>
      <c r="D788" s="51"/>
      <c r="G788" s="51"/>
    </row>
    <row r="789">
      <c r="A789" s="51"/>
      <c r="D789" s="51"/>
      <c r="G789" s="51"/>
    </row>
    <row r="790">
      <c r="A790" s="6" t="s">
        <v>70</v>
      </c>
      <c r="B790" s="52"/>
      <c r="C790" s="8"/>
      <c r="D790" s="9" t="s">
        <v>71</v>
      </c>
      <c r="E790" s="10"/>
      <c r="F790" s="10"/>
      <c r="G790" s="10"/>
      <c r="H790" s="10"/>
      <c r="I790" s="10"/>
      <c r="J790" s="10"/>
      <c r="K790" s="9"/>
      <c r="L790" s="10"/>
      <c r="M790" s="10"/>
      <c r="N790" s="10"/>
      <c r="O790" s="10"/>
      <c r="P790" s="11"/>
    </row>
    <row r="791">
      <c r="A791" s="12" t="s">
        <v>72</v>
      </c>
      <c r="B791" s="13">
        <v>1000000.0</v>
      </c>
      <c r="C791" s="14"/>
      <c r="D791" s="53" t="str">
        <f>B790</f>
        <v/>
      </c>
      <c r="E791" s="16" t="s">
        <v>73</v>
      </c>
      <c r="F791" s="17"/>
      <c r="G791" s="16" t="s">
        <v>74</v>
      </c>
      <c r="H791" s="16" t="s">
        <v>75</v>
      </c>
      <c r="I791" s="16" t="s">
        <v>76</v>
      </c>
      <c r="J791" s="18" t="s">
        <v>77</v>
      </c>
      <c r="P791" s="19"/>
    </row>
    <row r="792">
      <c r="A792" s="12" t="s">
        <v>78</v>
      </c>
      <c r="B792" s="13">
        <v>1000000.0</v>
      </c>
      <c r="C792" s="14"/>
      <c r="D792" s="20" t="s">
        <v>72</v>
      </c>
      <c r="E792" s="21">
        <f t="shared" ref="E792:E793" si="134">B791</f>
        <v>1000000</v>
      </c>
      <c r="F792" s="20" t="s">
        <v>79</v>
      </c>
      <c r="G792" s="21">
        <f t="shared" ref="G792:G793" si="135">B794</f>
        <v>4</v>
      </c>
      <c r="H792" s="4">
        <f>G792+(G793/60)</f>
        <v>4.166666667</v>
      </c>
      <c r="I792" s="21">
        <f>B799</f>
        <v>6</v>
      </c>
      <c r="J792" s="22" t="s">
        <v>80</v>
      </c>
      <c r="K792" s="23">
        <f>B801/B802</f>
        <v>0</v>
      </c>
      <c r="P792" s="19"/>
    </row>
    <row r="793">
      <c r="A793" s="12" t="s">
        <v>81</v>
      </c>
      <c r="B793" s="14"/>
      <c r="C793" s="14"/>
      <c r="D793" s="20" t="s">
        <v>78</v>
      </c>
      <c r="E793" s="21">
        <f t="shared" si="134"/>
        <v>1000000</v>
      </c>
      <c r="F793" s="20" t="s">
        <v>82</v>
      </c>
      <c r="G793" s="21">
        <f t="shared" si="135"/>
        <v>10</v>
      </c>
      <c r="J793" s="22" t="s">
        <v>83</v>
      </c>
      <c r="K793" s="23">
        <f>B803/B804</f>
        <v>0</v>
      </c>
      <c r="P793" s="19"/>
    </row>
    <row r="794">
      <c r="A794" s="24" t="s">
        <v>79</v>
      </c>
      <c r="B794" s="13">
        <v>4.0</v>
      </c>
      <c r="C794" s="14"/>
      <c r="D794" s="20" t="s">
        <v>84</v>
      </c>
      <c r="E794" s="25">
        <f>E792-E793</f>
        <v>0</v>
      </c>
      <c r="F794" s="26"/>
      <c r="G794" s="16" t="s">
        <v>85</v>
      </c>
      <c r="H794" s="16" t="s">
        <v>86</v>
      </c>
      <c r="I794" s="16" t="s">
        <v>87</v>
      </c>
      <c r="J794" s="22" t="s">
        <v>88</v>
      </c>
      <c r="K794" s="23">
        <f>B805/B806</f>
        <v>0</v>
      </c>
      <c r="P794" s="19"/>
    </row>
    <row r="795">
      <c r="A795" s="24" t="s">
        <v>89</v>
      </c>
      <c r="B795" s="13">
        <v>10.0</v>
      </c>
      <c r="C795" s="14"/>
      <c r="D795" s="16" t="s">
        <v>90</v>
      </c>
      <c r="F795" s="20" t="s">
        <v>79</v>
      </c>
      <c r="G795" s="21">
        <f t="shared" ref="G795:G796" si="136">B797</f>
        <v>4</v>
      </c>
      <c r="H795" s="25">
        <f>G795+(G796/60)</f>
        <v>4.166666667</v>
      </c>
      <c r="I795" s="25">
        <f>H792-H795</f>
        <v>0</v>
      </c>
      <c r="J795" s="22" t="s">
        <v>91</v>
      </c>
      <c r="K795" s="23">
        <f>B807/B808</f>
        <v>0</v>
      </c>
      <c r="P795" s="19"/>
    </row>
    <row r="796">
      <c r="A796" s="12" t="s">
        <v>85</v>
      </c>
      <c r="B796" s="27"/>
      <c r="C796" s="14"/>
      <c r="D796" s="28" t="s">
        <v>92</v>
      </c>
      <c r="E796" s="25">
        <f>E792/H801</f>
        <v>218181.8182</v>
      </c>
      <c r="F796" s="20" t="s">
        <v>82</v>
      </c>
      <c r="G796" s="21">
        <f t="shared" si="136"/>
        <v>10</v>
      </c>
      <c r="J796" s="22" t="s">
        <v>93</v>
      </c>
      <c r="K796" s="23">
        <f>B809/B810</f>
        <v>0</v>
      </c>
      <c r="P796" s="19"/>
    </row>
    <row r="797">
      <c r="A797" s="24" t="s">
        <v>79</v>
      </c>
      <c r="B797" s="13">
        <v>4.0</v>
      </c>
      <c r="C797" s="14"/>
      <c r="D797" s="28" t="s">
        <v>94</v>
      </c>
      <c r="E797" s="25">
        <f>E792/I792</f>
        <v>166666.6667</v>
      </c>
      <c r="J797" s="22" t="s">
        <v>95</v>
      </c>
      <c r="K797" s="23">
        <f>B811/B812</f>
        <v>0</v>
      </c>
      <c r="P797" s="19"/>
    </row>
    <row r="798">
      <c r="A798" s="24" t="s">
        <v>89</v>
      </c>
      <c r="B798" s="13">
        <v>10.0</v>
      </c>
      <c r="C798" s="14"/>
      <c r="D798" s="28" t="s">
        <v>96</v>
      </c>
      <c r="E798" s="25">
        <f>E796/I792</f>
        <v>36363.63636</v>
      </c>
      <c r="J798" s="29" t="s">
        <v>97</v>
      </c>
      <c r="K798" s="30">
        <f>SUM(K792:K797)</f>
        <v>0</v>
      </c>
      <c r="P798" s="19"/>
    </row>
    <row r="799">
      <c r="A799" s="12" t="s">
        <v>98</v>
      </c>
      <c r="B799" s="13">
        <v>6.0</v>
      </c>
      <c r="C799" s="14"/>
      <c r="D799" s="28" t="s">
        <v>99</v>
      </c>
      <c r="E799" s="31">
        <f>E798/12</f>
        <v>3030.30303</v>
      </c>
      <c r="I799" s="29"/>
      <c r="J799" s="29" t="s">
        <v>100</v>
      </c>
      <c r="K799" s="30">
        <f>H809</f>
        <v>0</v>
      </c>
      <c r="P799" s="19"/>
    </row>
    <row r="800">
      <c r="A800" s="32"/>
      <c r="B800" s="14"/>
      <c r="C800" s="14"/>
      <c r="D800" s="28" t="s">
        <v>101</v>
      </c>
      <c r="E800" s="25">
        <f>E799*5</f>
        <v>15151.51515</v>
      </c>
      <c r="J800" s="29" t="s">
        <v>102</v>
      </c>
      <c r="K800" s="30">
        <f>E801</f>
        <v>18181.81818</v>
      </c>
      <c r="P800" s="19"/>
    </row>
    <row r="801">
      <c r="A801" s="33" t="s">
        <v>103</v>
      </c>
      <c r="B801" s="34">
        <v>0.0</v>
      </c>
      <c r="C801" s="14"/>
      <c r="D801" s="28" t="s">
        <v>104</v>
      </c>
      <c r="E801" s="25">
        <f>E799*6</f>
        <v>18181.81818</v>
      </c>
      <c r="G801" s="35" t="s">
        <v>105</v>
      </c>
      <c r="H801" s="36">
        <f>H792+(25/60)</f>
        <v>4.583333333</v>
      </c>
      <c r="J801" s="29" t="s">
        <v>106</v>
      </c>
      <c r="K801" s="30">
        <f>E809</f>
        <v>20000</v>
      </c>
      <c r="P801" s="19"/>
    </row>
    <row r="802">
      <c r="A802" s="37" t="s">
        <v>107</v>
      </c>
      <c r="B802" s="38">
        <v>1.0</v>
      </c>
      <c r="C802" s="14"/>
      <c r="G802" s="35" t="s">
        <v>108</v>
      </c>
      <c r="H802" s="36">
        <f>I795+(25/60)</f>
        <v>0.4166666667</v>
      </c>
      <c r="I802" s="39" t="s">
        <v>109</v>
      </c>
      <c r="P802" s="19"/>
    </row>
    <row r="803">
      <c r="A803" s="40" t="s">
        <v>110</v>
      </c>
      <c r="B803" s="13">
        <v>0.0</v>
      </c>
      <c r="C803" s="14"/>
      <c r="D803" s="16" t="s">
        <v>111</v>
      </c>
      <c r="G803" s="16" t="s">
        <v>112</v>
      </c>
      <c r="H803" s="36"/>
      <c r="I803" s="39" t="s">
        <v>113</v>
      </c>
      <c r="P803" s="19"/>
    </row>
    <row r="804">
      <c r="A804" s="37" t="s">
        <v>114</v>
      </c>
      <c r="B804" s="38">
        <v>1.0</v>
      </c>
      <c r="C804" s="14"/>
      <c r="D804" s="28" t="s">
        <v>92</v>
      </c>
      <c r="E804" s="25">
        <f>E793/H795</f>
        <v>240000</v>
      </c>
      <c r="G804" s="28" t="s">
        <v>92</v>
      </c>
      <c r="H804" s="36">
        <f>E794/H802</f>
        <v>0</v>
      </c>
      <c r="I804" s="39" t="s">
        <v>115</v>
      </c>
      <c r="P804" s="19"/>
    </row>
    <row r="805">
      <c r="A805" s="40" t="s">
        <v>116</v>
      </c>
      <c r="B805" s="13">
        <v>0.0</v>
      </c>
      <c r="C805" s="14"/>
      <c r="D805" s="28" t="s">
        <v>94</v>
      </c>
      <c r="E805" s="25">
        <f>E793/I792</f>
        <v>166666.6667</v>
      </c>
      <c r="G805" s="28" t="s">
        <v>94</v>
      </c>
      <c r="H805" s="36">
        <f>E794/I792</f>
        <v>0</v>
      </c>
      <c r="I805" s="39" t="s">
        <v>117</v>
      </c>
      <c r="P805" s="19"/>
    </row>
    <row r="806">
      <c r="A806" s="37" t="s">
        <v>118</v>
      </c>
      <c r="B806" s="38">
        <v>1.0</v>
      </c>
      <c r="C806" s="14"/>
      <c r="D806" s="28" t="s">
        <v>96</v>
      </c>
      <c r="E806" s="25">
        <f>E805/H795</f>
        <v>40000</v>
      </c>
      <c r="G806" s="28" t="s">
        <v>96</v>
      </c>
      <c r="H806" s="36">
        <f>H805/H802</f>
        <v>0</v>
      </c>
      <c r="P806" s="19"/>
    </row>
    <row r="807">
      <c r="A807" s="40" t="s">
        <v>119</v>
      </c>
      <c r="B807" s="13">
        <v>0.0</v>
      </c>
      <c r="C807" s="14"/>
      <c r="D807" s="28" t="s">
        <v>99</v>
      </c>
      <c r="E807" s="25">
        <f>E806/12</f>
        <v>3333.333333</v>
      </c>
      <c r="G807" s="28" t="s">
        <v>99</v>
      </c>
      <c r="H807" s="36">
        <f>H806/12</f>
        <v>0</v>
      </c>
      <c r="P807" s="19"/>
    </row>
    <row r="808">
      <c r="A808" s="37" t="s">
        <v>120</v>
      </c>
      <c r="B808" s="38">
        <v>1.0</v>
      </c>
      <c r="C808" s="14"/>
      <c r="D808" s="28" t="s">
        <v>101</v>
      </c>
      <c r="E808" s="25">
        <f>E807*5</f>
        <v>16666.66667</v>
      </c>
      <c r="G808" s="28" t="s">
        <v>101</v>
      </c>
      <c r="H808" s="36">
        <f>H807*5</f>
        <v>0</v>
      </c>
      <c r="P808" s="19"/>
    </row>
    <row r="809">
      <c r="A809" s="40" t="s">
        <v>121</v>
      </c>
      <c r="B809" s="13">
        <v>0.0</v>
      </c>
      <c r="C809" s="14"/>
      <c r="D809" s="28" t="s">
        <v>104</v>
      </c>
      <c r="E809" s="25">
        <f>E807*6</f>
        <v>20000</v>
      </c>
      <c r="G809" s="28" t="s">
        <v>104</v>
      </c>
      <c r="H809" s="36">
        <f>H807*6</f>
        <v>0</v>
      </c>
      <c r="P809" s="19"/>
    </row>
    <row r="810">
      <c r="A810" s="37" t="s">
        <v>122</v>
      </c>
      <c r="B810" s="38">
        <v>1.0</v>
      </c>
      <c r="C810" s="14"/>
      <c r="P810" s="19"/>
    </row>
    <row r="811">
      <c r="A811" s="40" t="s">
        <v>123</v>
      </c>
      <c r="B811" s="13">
        <v>0.0</v>
      </c>
      <c r="C811" s="14"/>
      <c r="D811" s="28" t="s">
        <v>124</v>
      </c>
      <c r="E811" s="41"/>
      <c r="F811" s="41"/>
      <c r="P811" s="19"/>
    </row>
    <row r="812">
      <c r="A812" s="37" t="s">
        <v>125</v>
      </c>
      <c r="B812" s="38">
        <v>1.0</v>
      </c>
      <c r="C812" s="14"/>
      <c r="D812" s="4" t="s">
        <v>126</v>
      </c>
      <c r="E812" s="25">
        <f t="shared" ref="E812:E815" si="137">H806-E806</f>
        <v>-40000</v>
      </c>
      <c r="P812" s="19"/>
    </row>
    <row r="813">
      <c r="A813" s="42" t="s">
        <v>127</v>
      </c>
      <c r="C813" s="14"/>
      <c r="D813" s="4" t="s">
        <v>128</v>
      </c>
      <c r="E813" s="25">
        <f t="shared" si="137"/>
        <v>-3333.333333</v>
      </c>
      <c r="P813" s="19"/>
    </row>
    <row r="814">
      <c r="A814" s="32"/>
      <c r="C814" s="14"/>
      <c r="D814" s="4" t="s">
        <v>129</v>
      </c>
      <c r="E814" s="25">
        <f t="shared" si="137"/>
        <v>-16666.66667</v>
      </c>
      <c r="G814" s="43"/>
      <c r="P814" s="19"/>
    </row>
    <row r="815">
      <c r="A815" s="32"/>
      <c r="C815" s="14"/>
      <c r="D815" s="4" t="s">
        <v>130</v>
      </c>
      <c r="E815" s="25">
        <f t="shared" si="137"/>
        <v>-20000</v>
      </c>
      <c r="P815" s="19"/>
    </row>
    <row r="816">
      <c r="A816" s="24"/>
      <c r="C816" s="14"/>
      <c r="D816" s="28" t="s">
        <v>131</v>
      </c>
      <c r="P816" s="19"/>
    </row>
    <row r="817">
      <c r="A817" s="32"/>
      <c r="C817" s="14"/>
      <c r="D817" s="4" t="s">
        <v>132</v>
      </c>
      <c r="E817" s="25">
        <f t="shared" ref="E817:E820" si="138">H806-E798</f>
        <v>-36363.63636</v>
      </c>
      <c r="P817" s="19"/>
    </row>
    <row r="818">
      <c r="A818" s="32"/>
      <c r="C818" s="14"/>
      <c r="D818" s="4" t="s">
        <v>133</v>
      </c>
      <c r="E818" s="25">
        <f t="shared" si="138"/>
        <v>-3030.30303</v>
      </c>
      <c r="G818" s="28" t="s">
        <v>134</v>
      </c>
      <c r="I818" s="35" t="s">
        <v>135</v>
      </c>
      <c r="J818" s="35" t="s">
        <v>82</v>
      </c>
      <c r="P818" s="19"/>
    </row>
    <row r="819">
      <c r="A819" s="32"/>
      <c r="C819" s="14"/>
      <c r="D819" s="4" t="s">
        <v>136</v>
      </c>
      <c r="E819" s="25">
        <f t="shared" si="138"/>
        <v>-15151.51515</v>
      </c>
      <c r="G819" s="35" t="s">
        <v>137</v>
      </c>
      <c r="H819" s="25" t="str">
        <f>(E792/H804)-(25/60)</f>
        <v>#DIV/0!</v>
      </c>
      <c r="I819" s="25" t="str">
        <f t="shared" ref="I819:I820" si="139">INT(H819)</f>
        <v>#DIV/0!</v>
      </c>
      <c r="J819" s="36" t="str">
        <f t="shared" ref="J819:J820" si="140">INT((H819-I819)*60)</f>
        <v>#DIV/0!</v>
      </c>
      <c r="P819" s="19"/>
    </row>
    <row r="820">
      <c r="A820" s="44"/>
      <c r="B820" s="45"/>
      <c r="C820" s="46"/>
      <c r="D820" s="47" t="s">
        <v>138</v>
      </c>
      <c r="E820" s="45">
        <f t="shared" si="138"/>
        <v>-18181.81818</v>
      </c>
      <c r="F820" s="45"/>
      <c r="G820" s="48" t="s">
        <v>139</v>
      </c>
      <c r="H820" s="45" t="str">
        <f>H792-H819</f>
        <v>#DIV/0!</v>
      </c>
      <c r="I820" s="45" t="str">
        <f t="shared" si="139"/>
        <v>#DIV/0!</v>
      </c>
      <c r="J820" s="49" t="str">
        <f t="shared" si="140"/>
        <v>#DIV/0!</v>
      </c>
      <c r="K820" s="45"/>
      <c r="L820" s="45"/>
      <c r="M820" s="45"/>
      <c r="N820" s="45"/>
      <c r="O820" s="45"/>
      <c r="P820" s="50"/>
    </row>
    <row r="821">
      <c r="A821" s="51"/>
      <c r="D821" s="51"/>
      <c r="G821" s="51"/>
    </row>
    <row r="822">
      <c r="A822" s="51"/>
    </row>
    <row r="823">
      <c r="A823" s="51"/>
      <c r="D823" s="51"/>
    </row>
    <row r="824">
      <c r="A824" s="51"/>
    </row>
    <row r="825">
      <c r="A825" s="51"/>
      <c r="G825" s="51"/>
    </row>
    <row r="827">
      <c r="D827" s="51"/>
    </row>
    <row r="830">
      <c r="A830" s="6" t="s">
        <v>70</v>
      </c>
      <c r="B830" s="52"/>
      <c r="C830" s="8"/>
      <c r="D830" s="9" t="s">
        <v>71</v>
      </c>
      <c r="E830" s="10"/>
      <c r="F830" s="10"/>
      <c r="G830" s="10"/>
      <c r="H830" s="10"/>
      <c r="I830" s="10"/>
      <c r="J830" s="10"/>
      <c r="K830" s="9"/>
      <c r="L830" s="10"/>
      <c r="M830" s="10"/>
      <c r="N830" s="10"/>
      <c r="O830" s="10"/>
      <c r="P830" s="11"/>
    </row>
    <row r="831">
      <c r="A831" s="12" t="s">
        <v>72</v>
      </c>
      <c r="B831" s="13">
        <v>1000000.0</v>
      </c>
      <c r="C831" s="14"/>
      <c r="D831" s="53" t="str">
        <f>B830</f>
        <v/>
      </c>
      <c r="E831" s="16" t="s">
        <v>73</v>
      </c>
      <c r="F831" s="17"/>
      <c r="G831" s="16" t="s">
        <v>74</v>
      </c>
      <c r="H831" s="16" t="s">
        <v>75</v>
      </c>
      <c r="I831" s="16" t="s">
        <v>76</v>
      </c>
      <c r="J831" s="18" t="s">
        <v>77</v>
      </c>
      <c r="P831" s="19"/>
    </row>
    <row r="832">
      <c r="A832" s="12" t="s">
        <v>78</v>
      </c>
      <c r="B832" s="13">
        <v>1000000.0</v>
      </c>
      <c r="C832" s="14"/>
      <c r="D832" s="20" t="s">
        <v>72</v>
      </c>
      <c r="E832" s="21">
        <f t="shared" ref="E832:E833" si="141">B831</f>
        <v>1000000</v>
      </c>
      <c r="F832" s="20" t="s">
        <v>79</v>
      </c>
      <c r="G832" s="21">
        <f t="shared" ref="G832:G833" si="142">B834</f>
        <v>4</v>
      </c>
      <c r="H832" s="4">
        <f>G832+(G833/60)</f>
        <v>4.166666667</v>
      </c>
      <c r="I832" s="21">
        <f>B839</f>
        <v>6</v>
      </c>
      <c r="J832" s="22" t="s">
        <v>80</v>
      </c>
      <c r="K832" s="23">
        <f>B841/B842</f>
        <v>0</v>
      </c>
      <c r="P832" s="19"/>
    </row>
    <row r="833">
      <c r="A833" s="12" t="s">
        <v>81</v>
      </c>
      <c r="B833" s="14"/>
      <c r="C833" s="14"/>
      <c r="D833" s="20" t="s">
        <v>78</v>
      </c>
      <c r="E833" s="21">
        <f t="shared" si="141"/>
        <v>1000000</v>
      </c>
      <c r="F833" s="20" t="s">
        <v>82</v>
      </c>
      <c r="G833" s="21">
        <f t="shared" si="142"/>
        <v>10</v>
      </c>
      <c r="J833" s="22" t="s">
        <v>83</v>
      </c>
      <c r="K833" s="23">
        <f>B843/B844</f>
        <v>0</v>
      </c>
      <c r="P833" s="19"/>
    </row>
    <row r="834">
      <c r="A834" s="24" t="s">
        <v>79</v>
      </c>
      <c r="B834" s="13">
        <v>4.0</v>
      </c>
      <c r="C834" s="14"/>
      <c r="D834" s="20" t="s">
        <v>84</v>
      </c>
      <c r="E834" s="25">
        <f>E832-E833</f>
        <v>0</v>
      </c>
      <c r="F834" s="26"/>
      <c r="G834" s="16" t="s">
        <v>85</v>
      </c>
      <c r="H834" s="16" t="s">
        <v>86</v>
      </c>
      <c r="I834" s="16" t="s">
        <v>87</v>
      </c>
      <c r="J834" s="22" t="s">
        <v>88</v>
      </c>
      <c r="K834" s="23">
        <f>B845/B846</f>
        <v>0</v>
      </c>
      <c r="P834" s="19"/>
    </row>
    <row r="835">
      <c r="A835" s="24" t="s">
        <v>89</v>
      </c>
      <c r="B835" s="13">
        <v>10.0</v>
      </c>
      <c r="C835" s="14"/>
      <c r="D835" s="16" t="s">
        <v>90</v>
      </c>
      <c r="F835" s="20" t="s">
        <v>79</v>
      </c>
      <c r="G835" s="21">
        <f t="shared" ref="G835:G836" si="143">B837</f>
        <v>4</v>
      </c>
      <c r="H835" s="25">
        <f>G835+(G836/60)</f>
        <v>4.166666667</v>
      </c>
      <c r="I835" s="25">
        <f>H832-H835</f>
        <v>0</v>
      </c>
      <c r="J835" s="22" t="s">
        <v>91</v>
      </c>
      <c r="K835" s="23">
        <f>B847/B848</f>
        <v>0</v>
      </c>
      <c r="P835" s="19"/>
    </row>
    <row r="836">
      <c r="A836" s="12" t="s">
        <v>85</v>
      </c>
      <c r="B836" s="27"/>
      <c r="C836" s="14"/>
      <c r="D836" s="28" t="s">
        <v>92</v>
      </c>
      <c r="E836" s="25">
        <f>E832/H841</f>
        <v>218181.8182</v>
      </c>
      <c r="F836" s="20" t="s">
        <v>82</v>
      </c>
      <c r="G836" s="21">
        <f t="shared" si="143"/>
        <v>10</v>
      </c>
      <c r="J836" s="22" t="s">
        <v>93</v>
      </c>
      <c r="K836" s="23">
        <f>B849/B850</f>
        <v>0</v>
      </c>
      <c r="P836" s="19"/>
    </row>
    <row r="837">
      <c r="A837" s="24" t="s">
        <v>79</v>
      </c>
      <c r="B837" s="13">
        <v>4.0</v>
      </c>
      <c r="C837" s="14"/>
      <c r="D837" s="28" t="s">
        <v>94</v>
      </c>
      <c r="E837" s="25">
        <f>E832/I832</f>
        <v>166666.6667</v>
      </c>
      <c r="J837" s="22" t="s">
        <v>95</v>
      </c>
      <c r="K837" s="23">
        <f>B851/B852</f>
        <v>0</v>
      </c>
      <c r="P837" s="19"/>
    </row>
    <row r="838">
      <c r="A838" s="24" t="s">
        <v>89</v>
      </c>
      <c r="B838" s="13">
        <v>10.0</v>
      </c>
      <c r="C838" s="14"/>
      <c r="D838" s="28" t="s">
        <v>96</v>
      </c>
      <c r="E838" s="25">
        <f>E836/I832</f>
        <v>36363.63636</v>
      </c>
      <c r="J838" s="29" t="s">
        <v>97</v>
      </c>
      <c r="K838" s="30">
        <f>SUM(K832:K837)</f>
        <v>0</v>
      </c>
      <c r="P838" s="19"/>
    </row>
    <row r="839">
      <c r="A839" s="12" t="s">
        <v>98</v>
      </c>
      <c r="B839" s="13">
        <v>6.0</v>
      </c>
      <c r="C839" s="14"/>
      <c r="D839" s="28" t="s">
        <v>99</v>
      </c>
      <c r="E839" s="31">
        <f>E838/12</f>
        <v>3030.30303</v>
      </c>
      <c r="I839" s="29"/>
      <c r="J839" s="29" t="s">
        <v>100</v>
      </c>
      <c r="K839" s="30">
        <f>H849</f>
        <v>0</v>
      </c>
      <c r="P839" s="19"/>
    </row>
    <row r="840">
      <c r="A840" s="32"/>
      <c r="B840" s="14"/>
      <c r="C840" s="14"/>
      <c r="D840" s="28" t="s">
        <v>101</v>
      </c>
      <c r="E840" s="25">
        <f>E839*5</f>
        <v>15151.51515</v>
      </c>
      <c r="J840" s="29" t="s">
        <v>102</v>
      </c>
      <c r="K840" s="30">
        <f>E841</f>
        <v>18181.81818</v>
      </c>
      <c r="P840" s="19"/>
    </row>
    <row r="841">
      <c r="A841" s="33" t="s">
        <v>103</v>
      </c>
      <c r="B841" s="34">
        <v>0.0</v>
      </c>
      <c r="C841" s="14"/>
      <c r="D841" s="28" t="s">
        <v>104</v>
      </c>
      <c r="E841" s="25">
        <f>E839*6</f>
        <v>18181.81818</v>
      </c>
      <c r="G841" s="35" t="s">
        <v>105</v>
      </c>
      <c r="H841" s="36">
        <f>H832+(25/60)</f>
        <v>4.583333333</v>
      </c>
      <c r="J841" s="29" t="s">
        <v>106</v>
      </c>
      <c r="K841" s="30">
        <f>E849</f>
        <v>20000</v>
      </c>
      <c r="P841" s="19"/>
    </row>
    <row r="842">
      <c r="A842" s="37" t="s">
        <v>107</v>
      </c>
      <c r="B842" s="38">
        <v>1.0</v>
      </c>
      <c r="C842" s="14"/>
      <c r="G842" s="35" t="s">
        <v>108</v>
      </c>
      <c r="H842" s="36">
        <f>I835+(25/60)</f>
        <v>0.4166666667</v>
      </c>
      <c r="I842" s="39" t="s">
        <v>109</v>
      </c>
      <c r="P842" s="19"/>
    </row>
    <row r="843">
      <c r="A843" s="40" t="s">
        <v>110</v>
      </c>
      <c r="B843" s="13">
        <v>0.0</v>
      </c>
      <c r="C843" s="14"/>
      <c r="D843" s="16" t="s">
        <v>111</v>
      </c>
      <c r="G843" s="16" t="s">
        <v>112</v>
      </c>
      <c r="H843" s="36"/>
      <c r="I843" s="39" t="s">
        <v>113</v>
      </c>
      <c r="P843" s="19"/>
    </row>
    <row r="844">
      <c r="A844" s="37" t="s">
        <v>114</v>
      </c>
      <c r="B844" s="38">
        <v>1.0</v>
      </c>
      <c r="C844" s="14"/>
      <c r="D844" s="28" t="s">
        <v>92</v>
      </c>
      <c r="E844" s="25">
        <f>E833/H835</f>
        <v>240000</v>
      </c>
      <c r="G844" s="28" t="s">
        <v>92</v>
      </c>
      <c r="H844" s="36">
        <f>E834/H842</f>
        <v>0</v>
      </c>
      <c r="I844" s="39" t="s">
        <v>115</v>
      </c>
      <c r="P844" s="19"/>
    </row>
    <row r="845">
      <c r="A845" s="40" t="s">
        <v>116</v>
      </c>
      <c r="B845" s="13">
        <v>0.0</v>
      </c>
      <c r="C845" s="14"/>
      <c r="D845" s="28" t="s">
        <v>94</v>
      </c>
      <c r="E845" s="25">
        <f>E833/I832</f>
        <v>166666.6667</v>
      </c>
      <c r="G845" s="28" t="s">
        <v>94</v>
      </c>
      <c r="H845" s="36">
        <f>E834/I832</f>
        <v>0</v>
      </c>
      <c r="I845" s="39" t="s">
        <v>117</v>
      </c>
      <c r="P845" s="19"/>
    </row>
    <row r="846">
      <c r="A846" s="37" t="s">
        <v>118</v>
      </c>
      <c r="B846" s="38">
        <v>1.0</v>
      </c>
      <c r="C846" s="14"/>
      <c r="D846" s="28" t="s">
        <v>96</v>
      </c>
      <c r="E846" s="25">
        <f>E845/H835</f>
        <v>40000</v>
      </c>
      <c r="G846" s="28" t="s">
        <v>96</v>
      </c>
      <c r="H846" s="36">
        <f>H845/H842</f>
        <v>0</v>
      </c>
      <c r="P846" s="19"/>
    </row>
    <row r="847">
      <c r="A847" s="40" t="s">
        <v>119</v>
      </c>
      <c r="B847" s="13">
        <v>0.0</v>
      </c>
      <c r="C847" s="14"/>
      <c r="D847" s="28" t="s">
        <v>99</v>
      </c>
      <c r="E847" s="25">
        <f>E846/12</f>
        <v>3333.333333</v>
      </c>
      <c r="G847" s="28" t="s">
        <v>99</v>
      </c>
      <c r="H847" s="36">
        <f>H846/12</f>
        <v>0</v>
      </c>
      <c r="P847" s="19"/>
    </row>
    <row r="848">
      <c r="A848" s="37" t="s">
        <v>120</v>
      </c>
      <c r="B848" s="38">
        <v>1.0</v>
      </c>
      <c r="C848" s="14"/>
      <c r="D848" s="28" t="s">
        <v>101</v>
      </c>
      <c r="E848" s="25">
        <f>E847*5</f>
        <v>16666.66667</v>
      </c>
      <c r="G848" s="28" t="s">
        <v>101</v>
      </c>
      <c r="H848" s="36">
        <f>H847*5</f>
        <v>0</v>
      </c>
      <c r="P848" s="19"/>
    </row>
    <row r="849">
      <c r="A849" s="40" t="s">
        <v>121</v>
      </c>
      <c r="B849" s="13">
        <v>0.0</v>
      </c>
      <c r="C849" s="14"/>
      <c r="D849" s="28" t="s">
        <v>104</v>
      </c>
      <c r="E849" s="25">
        <f>E847*6</f>
        <v>20000</v>
      </c>
      <c r="G849" s="28" t="s">
        <v>104</v>
      </c>
      <c r="H849" s="36">
        <f>H847*6</f>
        <v>0</v>
      </c>
      <c r="P849" s="19"/>
    </row>
    <row r="850">
      <c r="A850" s="37" t="s">
        <v>122</v>
      </c>
      <c r="B850" s="38">
        <v>1.0</v>
      </c>
      <c r="C850" s="14"/>
      <c r="P850" s="19"/>
    </row>
    <row r="851">
      <c r="A851" s="40" t="s">
        <v>123</v>
      </c>
      <c r="B851" s="13">
        <v>0.0</v>
      </c>
      <c r="C851" s="14"/>
      <c r="D851" s="28" t="s">
        <v>124</v>
      </c>
      <c r="E851" s="41"/>
      <c r="F851" s="41"/>
      <c r="P851" s="19"/>
    </row>
    <row r="852">
      <c r="A852" s="37" t="s">
        <v>125</v>
      </c>
      <c r="B852" s="38">
        <v>1.0</v>
      </c>
      <c r="C852" s="14"/>
      <c r="D852" s="4" t="s">
        <v>126</v>
      </c>
      <c r="E852" s="25">
        <f t="shared" ref="E852:E855" si="144">H846-E846</f>
        <v>-40000</v>
      </c>
      <c r="P852" s="19"/>
    </row>
    <row r="853">
      <c r="A853" s="42" t="s">
        <v>127</v>
      </c>
      <c r="C853" s="14"/>
      <c r="D853" s="4" t="s">
        <v>128</v>
      </c>
      <c r="E853" s="25">
        <f t="shared" si="144"/>
        <v>-3333.333333</v>
      </c>
      <c r="P853" s="19"/>
    </row>
    <row r="854">
      <c r="A854" s="32"/>
      <c r="C854" s="14"/>
      <c r="D854" s="4" t="s">
        <v>129</v>
      </c>
      <c r="E854" s="25">
        <f t="shared" si="144"/>
        <v>-16666.66667</v>
      </c>
      <c r="G854" s="43"/>
      <c r="P854" s="19"/>
    </row>
    <row r="855">
      <c r="A855" s="32"/>
      <c r="C855" s="14"/>
      <c r="D855" s="4" t="s">
        <v>130</v>
      </c>
      <c r="E855" s="25">
        <f t="shared" si="144"/>
        <v>-20000</v>
      </c>
      <c r="P855" s="19"/>
    </row>
    <row r="856">
      <c r="A856" s="24"/>
      <c r="C856" s="14"/>
      <c r="D856" s="28" t="s">
        <v>131</v>
      </c>
      <c r="P856" s="19"/>
    </row>
    <row r="857">
      <c r="A857" s="32"/>
      <c r="C857" s="14"/>
      <c r="D857" s="4" t="s">
        <v>132</v>
      </c>
      <c r="E857" s="25">
        <f t="shared" ref="E857:E860" si="145">H846-E838</f>
        <v>-36363.63636</v>
      </c>
      <c r="P857" s="19"/>
    </row>
    <row r="858">
      <c r="A858" s="32"/>
      <c r="C858" s="14"/>
      <c r="D858" s="4" t="s">
        <v>133</v>
      </c>
      <c r="E858" s="25">
        <f t="shared" si="145"/>
        <v>-3030.30303</v>
      </c>
      <c r="G858" s="28" t="s">
        <v>134</v>
      </c>
      <c r="I858" s="35" t="s">
        <v>135</v>
      </c>
      <c r="J858" s="35" t="s">
        <v>82</v>
      </c>
      <c r="P858" s="19"/>
    </row>
    <row r="859">
      <c r="A859" s="32"/>
      <c r="C859" s="14"/>
      <c r="D859" s="4" t="s">
        <v>136</v>
      </c>
      <c r="E859" s="25">
        <f t="shared" si="145"/>
        <v>-15151.51515</v>
      </c>
      <c r="G859" s="35" t="s">
        <v>137</v>
      </c>
      <c r="H859" s="25" t="str">
        <f>(E832/H844)-(25/60)</f>
        <v>#DIV/0!</v>
      </c>
      <c r="I859" s="25" t="str">
        <f t="shared" ref="I859:I860" si="146">INT(H859)</f>
        <v>#DIV/0!</v>
      </c>
      <c r="J859" s="36" t="str">
        <f t="shared" ref="J859:J860" si="147">INT((H859-I859)*60)</f>
        <v>#DIV/0!</v>
      </c>
      <c r="P859" s="19"/>
    </row>
    <row r="860">
      <c r="A860" s="44"/>
      <c r="B860" s="45"/>
      <c r="C860" s="46"/>
      <c r="D860" s="47" t="s">
        <v>138</v>
      </c>
      <c r="E860" s="45">
        <f t="shared" si="145"/>
        <v>-18181.81818</v>
      </c>
      <c r="F860" s="45"/>
      <c r="G860" s="48" t="s">
        <v>139</v>
      </c>
      <c r="H860" s="45" t="str">
        <f>H832-H859</f>
        <v>#DIV/0!</v>
      </c>
      <c r="I860" s="45" t="str">
        <f t="shared" si="146"/>
        <v>#DIV/0!</v>
      </c>
      <c r="J860" s="49" t="str">
        <f t="shared" si="147"/>
        <v>#DIV/0!</v>
      </c>
      <c r="K860" s="45"/>
      <c r="L860" s="45"/>
      <c r="M860" s="45"/>
      <c r="N860" s="45"/>
      <c r="O860" s="45"/>
      <c r="P860" s="50"/>
    </row>
    <row r="861">
      <c r="A861" s="51"/>
      <c r="B861" s="51"/>
      <c r="D861" s="51"/>
    </row>
    <row r="862">
      <c r="D862" s="51"/>
      <c r="I862" s="51"/>
    </row>
    <row r="863">
      <c r="D863" s="51"/>
      <c r="I863" s="51"/>
    </row>
    <row r="864">
      <c r="A864" s="51"/>
      <c r="D864" s="51"/>
      <c r="G864" s="51"/>
    </row>
    <row r="865">
      <c r="A865" s="51"/>
      <c r="G865" s="51"/>
    </row>
    <row r="866">
      <c r="A866" s="51"/>
      <c r="D866" s="51"/>
      <c r="G866" s="51"/>
    </row>
    <row r="867">
      <c r="A867" s="51"/>
      <c r="D867" s="51"/>
      <c r="G867" s="51"/>
    </row>
    <row r="868">
      <c r="A868" s="51"/>
      <c r="D868" s="51"/>
      <c r="G868" s="51"/>
    </row>
    <row r="869">
      <c r="A869" s="51"/>
      <c r="D869" s="51"/>
      <c r="G869" s="51"/>
    </row>
    <row r="870">
      <c r="A870" s="6" t="s">
        <v>70</v>
      </c>
      <c r="B870" s="52"/>
      <c r="C870" s="8"/>
      <c r="D870" s="9" t="s">
        <v>71</v>
      </c>
      <c r="E870" s="10"/>
      <c r="F870" s="10"/>
      <c r="G870" s="10"/>
      <c r="H870" s="10"/>
      <c r="I870" s="10"/>
      <c r="J870" s="10"/>
      <c r="K870" s="9"/>
      <c r="L870" s="10"/>
      <c r="M870" s="10"/>
      <c r="N870" s="10"/>
      <c r="O870" s="10"/>
      <c r="P870" s="11"/>
    </row>
    <row r="871">
      <c r="A871" s="12" t="s">
        <v>72</v>
      </c>
      <c r="B871" s="13">
        <v>1000000.0</v>
      </c>
      <c r="C871" s="14"/>
      <c r="D871" s="53" t="str">
        <f>B870</f>
        <v/>
      </c>
      <c r="E871" s="16" t="s">
        <v>73</v>
      </c>
      <c r="F871" s="17"/>
      <c r="G871" s="16" t="s">
        <v>74</v>
      </c>
      <c r="H871" s="16" t="s">
        <v>75</v>
      </c>
      <c r="I871" s="16" t="s">
        <v>76</v>
      </c>
      <c r="J871" s="18" t="s">
        <v>77</v>
      </c>
      <c r="P871" s="19"/>
    </row>
    <row r="872">
      <c r="A872" s="12" t="s">
        <v>78</v>
      </c>
      <c r="B872" s="13">
        <v>1000000.0</v>
      </c>
      <c r="C872" s="14"/>
      <c r="D872" s="20" t="s">
        <v>72</v>
      </c>
      <c r="E872" s="21">
        <f t="shared" ref="E872:E873" si="148">B871</f>
        <v>1000000</v>
      </c>
      <c r="F872" s="20" t="s">
        <v>79</v>
      </c>
      <c r="G872" s="21">
        <f t="shared" ref="G872:G873" si="149">B874</f>
        <v>4</v>
      </c>
      <c r="H872" s="4">
        <f>G872+(G873/60)</f>
        <v>4.166666667</v>
      </c>
      <c r="I872" s="21">
        <f>B879</f>
        <v>6</v>
      </c>
      <c r="J872" s="22" t="s">
        <v>80</v>
      </c>
      <c r="K872" s="23">
        <f>B881/B882</f>
        <v>0</v>
      </c>
      <c r="P872" s="19"/>
    </row>
    <row r="873">
      <c r="A873" s="12" t="s">
        <v>81</v>
      </c>
      <c r="B873" s="14"/>
      <c r="C873" s="14"/>
      <c r="D873" s="20" t="s">
        <v>78</v>
      </c>
      <c r="E873" s="21">
        <f t="shared" si="148"/>
        <v>1000000</v>
      </c>
      <c r="F873" s="20" t="s">
        <v>82</v>
      </c>
      <c r="G873" s="21">
        <f t="shared" si="149"/>
        <v>10</v>
      </c>
      <c r="J873" s="22" t="s">
        <v>83</v>
      </c>
      <c r="K873" s="23">
        <f>B883/B884</f>
        <v>0</v>
      </c>
      <c r="P873" s="19"/>
    </row>
    <row r="874">
      <c r="A874" s="24" t="s">
        <v>79</v>
      </c>
      <c r="B874" s="13">
        <v>4.0</v>
      </c>
      <c r="C874" s="14"/>
      <c r="D874" s="20" t="s">
        <v>84</v>
      </c>
      <c r="E874" s="25">
        <f>E872-E873</f>
        <v>0</v>
      </c>
      <c r="F874" s="26"/>
      <c r="G874" s="16" t="s">
        <v>85</v>
      </c>
      <c r="H874" s="16" t="s">
        <v>86</v>
      </c>
      <c r="I874" s="16" t="s">
        <v>87</v>
      </c>
      <c r="J874" s="22" t="s">
        <v>88</v>
      </c>
      <c r="K874" s="23">
        <f>B885/B886</f>
        <v>0</v>
      </c>
      <c r="P874" s="19"/>
    </row>
    <row r="875">
      <c r="A875" s="24" t="s">
        <v>89</v>
      </c>
      <c r="B875" s="13">
        <v>10.0</v>
      </c>
      <c r="C875" s="14"/>
      <c r="D875" s="16" t="s">
        <v>90</v>
      </c>
      <c r="F875" s="20" t="s">
        <v>79</v>
      </c>
      <c r="G875" s="21">
        <f t="shared" ref="G875:G876" si="150">B877</f>
        <v>4</v>
      </c>
      <c r="H875" s="25">
        <f>G875+(G876/60)</f>
        <v>4.166666667</v>
      </c>
      <c r="I875" s="25">
        <f>H872-H875</f>
        <v>0</v>
      </c>
      <c r="J875" s="22" t="s">
        <v>91</v>
      </c>
      <c r="K875" s="23">
        <f>B887/B888</f>
        <v>0</v>
      </c>
      <c r="P875" s="19"/>
    </row>
    <row r="876">
      <c r="A876" s="12" t="s">
        <v>85</v>
      </c>
      <c r="B876" s="27"/>
      <c r="C876" s="14"/>
      <c r="D876" s="28" t="s">
        <v>92</v>
      </c>
      <c r="E876" s="25">
        <f>E872/H881</f>
        <v>218181.8182</v>
      </c>
      <c r="F876" s="20" t="s">
        <v>82</v>
      </c>
      <c r="G876" s="21">
        <f t="shared" si="150"/>
        <v>10</v>
      </c>
      <c r="J876" s="22" t="s">
        <v>93</v>
      </c>
      <c r="K876" s="23">
        <f>B889/B890</f>
        <v>0</v>
      </c>
      <c r="P876" s="19"/>
    </row>
    <row r="877">
      <c r="A877" s="24" t="s">
        <v>79</v>
      </c>
      <c r="B877" s="13">
        <v>4.0</v>
      </c>
      <c r="C877" s="14"/>
      <c r="D877" s="28" t="s">
        <v>94</v>
      </c>
      <c r="E877" s="25">
        <f>E872/I872</f>
        <v>166666.6667</v>
      </c>
      <c r="J877" s="22" t="s">
        <v>95</v>
      </c>
      <c r="K877" s="23">
        <f>B891/B892</f>
        <v>0</v>
      </c>
      <c r="P877" s="19"/>
    </row>
    <row r="878">
      <c r="A878" s="24" t="s">
        <v>89</v>
      </c>
      <c r="B878" s="13">
        <v>10.0</v>
      </c>
      <c r="C878" s="14"/>
      <c r="D878" s="28" t="s">
        <v>96</v>
      </c>
      <c r="E878" s="25">
        <f>E876/I872</f>
        <v>36363.63636</v>
      </c>
      <c r="J878" s="29" t="s">
        <v>97</v>
      </c>
      <c r="K878" s="30">
        <f>SUM(K872:K877)</f>
        <v>0</v>
      </c>
      <c r="P878" s="19"/>
    </row>
    <row r="879">
      <c r="A879" s="12" t="s">
        <v>98</v>
      </c>
      <c r="B879" s="13">
        <v>6.0</v>
      </c>
      <c r="C879" s="14"/>
      <c r="D879" s="28" t="s">
        <v>99</v>
      </c>
      <c r="E879" s="31">
        <f>E878/12</f>
        <v>3030.30303</v>
      </c>
      <c r="I879" s="29"/>
      <c r="J879" s="29" t="s">
        <v>100</v>
      </c>
      <c r="K879" s="30">
        <f>H889</f>
        <v>0</v>
      </c>
      <c r="P879" s="19"/>
    </row>
    <row r="880">
      <c r="A880" s="32"/>
      <c r="B880" s="14"/>
      <c r="C880" s="14"/>
      <c r="D880" s="28" t="s">
        <v>101</v>
      </c>
      <c r="E880" s="25">
        <f>E879*5</f>
        <v>15151.51515</v>
      </c>
      <c r="J880" s="29" t="s">
        <v>102</v>
      </c>
      <c r="K880" s="30">
        <f>E881</f>
        <v>18181.81818</v>
      </c>
      <c r="P880" s="19"/>
    </row>
    <row r="881">
      <c r="A881" s="33" t="s">
        <v>103</v>
      </c>
      <c r="B881" s="34">
        <v>0.0</v>
      </c>
      <c r="C881" s="14"/>
      <c r="D881" s="28" t="s">
        <v>104</v>
      </c>
      <c r="E881" s="25">
        <f>E879*6</f>
        <v>18181.81818</v>
      </c>
      <c r="G881" s="35" t="s">
        <v>105</v>
      </c>
      <c r="H881" s="36">
        <f>H872+(25/60)</f>
        <v>4.583333333</v>
      </c>
      <c r="J881" s="29" t="s">
        <v>106</v>
      </c>
      <c r="K881" s="30">
        <f>E889</f>
        <v>20000</v>
      </c>
      <c r="P881" s="19"/>
    </row>
    <row r="882">
      <c r="A882" s="37" t="s">
        <v>107</v>
      </c>
      <c r="B882" s="38">
        <v>1.0</v>
      </c>
      <c r="C882" s="14"/>
      <c r="G882" s="35" t="s">
        <v>108</v>
      </c>
      <c r="H882" s="36">
        <f>I875+(25/60)</f>
        <v>0.4166666667</v>
      </c>
      <c r="I882" s="39" t="s">
        <v>109</v>
      </c>
      <c r="P882" s="19"/>
    </row>
    <row r="883">
      <c r="A883" s="40" t="s">
        <v>110</v>
      </c>
      <c r="B883" s="13">
        <v>0.0</v>
      </c>
      <c r="C883" s="14"/>
      <c r="D883" s="16" t="s">
        <v>111</v>
      </c>
      <c r="G883" s="16" t="s">
        <v>112</v>
      </c>
      <c r="H883" s="36"/>
      <c r="I883" s="39" t="s">
        <v>113</v>
      </c>
      <c r="P883" s="19"/>
    </row>
    <row r="884">
      <c r="A884" s="37" t="s">
        <v>114</v>
      </c>
      <c r="B884" s="38">
        <v>1.0</v>
      </c>
      <c r="C884" s="14"/>
      <c r="D884" s="28" t="s">
        <v>92</v>
      </c>
      <c r="E884" s="25">
        <f>E873/H875</f>
        <v>240000</v>
      </c>
      <c r="G884" s="28" t="s">
        <v>92</v>
      </c>
      <c r="H884" s="36">
        <f>E874/H882</f>
        <v>0</v>
      </c>
      <c r="I884" s="39" t="s">
        <v>115</v>
      </c>
      <c r="P884" s="19"/>
    </row>
    <row r="885">
      <c r="A885" s="40" t="s">
        <v>116</v>
      </c>
      <c r="B885" s="13">
        <v>0.0</v>
      </c>
      <c r="C885" s="14"/>
      <c r="D885" s="28" t="s">
        <v>94</v>
      </c>
      <c r="E885" s="25">
        <f>E873/I872</f>
        <v>166666.6667</v>
      </c>
      <c r="G885" s="28" t="s">
        <v>94</v>
      </c>
      <c r="H885" s="36">
        <f>E874/I872</f>
        <v>0</v>
      </c>
      <c r="I885" s="39" t="s">
        <v>117</v>
      </c>
      <c r="P885" s="19"/>
    </row>
    <row r="886">
      <c r="A886" s="37" t="s">
        <v>118</v>
      </c>
      <c r="B886" s="38">
        <v>1.0</v>
      </c>
      <c r="C886" s="14"/>
      <c r="D886" s="28" t="s">
        <v>96</v>
      </c>
      <c r="E886" s="25">
        <f>E885/H875</f>
        <v>40000</v>
      </c>
      <c r="G886" s="28" t="s">
        <v>96</v>
      </c>
      <c r="H886" s="36">
        <f>H885/H882</f>
        <v>0</v>
      </c>
      <c r="P886" s="19"/>
    </row>
    <row r="887">
      <c r="A887" s="40" t="s">
        <v>119</v>
      </c>
      <c r="B887" s="13">
        <v>0.0</v>
      </c>
      <c r="C887" s="14"/>
      <c r="D887" s="28" t="s">
        <v>99</v>
      </c>
      <c r="E887" s="25">
        <f>E886/12</f>
        <v>3333.333333</v>
      </c>
      <c r="G887" s="28" t="s">
        <v>99</v>
      </c>
      <c r="H887" s="36">
        <f>H886/12</f>
        <v>0</v>
      </c>
      <c r="P887" s="19"/>
    </row>
    <row r="888">
      <c r="A888" s="37" t="s">
        <v>120</v>
      </c>
      <c r="B888" s="38">
        <v>1.0</v>
      </c>
      <c r="C888" s="14"/>
      <c r="D888" s="28" t="s">
        <v>101</v>
      </c>
      <c r="E888" s="25">
        <f>E887*5</f>
        <v>16666.66667</v>
      </c>
      <c r="G888" s="28" t="s">
        <v>101</v>
      </c>
      <c r="H888" s="36">
        <f>H887*5</f>
        <v>0</v>
      </c>
      <c r="P888" s="19"/>
    </row>
    <row r="889">
      <c r="A889" s="40" t="s">
        <v>121</v>
      </c>
      <c r="B889" s="13">
        <v>0.0</v>
      </c>
      <c r="C889" s="14"/>
      <c r="D889" s="28" t="s">
        <v>104</v>
      </c>
      <c r="E889" s="25">
        <f>E887*6</f>
        <v>20000</v>
      </c>
      <c r="G889" s="28" t="s">
        <v>104</v>
      </c>
      <c r="H889" s="36">
        <f>H887*6</f>
        <v>0</v>
      </c>
      <c r="P889" s="19"/>
    </row>
    <row r="890">
      <c r="A890" s="37" t="s">
        <v>122</v>
      </c>
      <c r="B890" s="38">
        <v>1.0</v>
      </c>
      <c r="C890" s="14"/>
      <c r="P890" s="19"/>
    </row>
    <row r="891">
      <c r="A891" s="40" t="s">
        <v>123</v>
      </c>
      <c r="B891" s="13">
        <v>0.0</v>
      </c>
      <c r="C891" s="14"/>
      <c r="D891" s="28" t="s">
        <v>124</v>
      </c>
      <c r="E891" s="41"/>
      <c r="F891" s="41"/>
      <c r="P891" s="19"/>
    </row>
    <row r="892">
      <c r="A892" s="37" t="s">
        <v>125</v>
      </c>
      <c r="B892" s="38">
        <v>1.0</v>
      </c>
      <c r="C892" s="14"/>
      <c r="D892" s="4" t="s">
        <v>126</v>
      </c>
      <c r="E892" s="25">
        <f t="shared" ref="E892:E895" si="151">H886-E886</f>
        <v>-40000</v>
      </c>
      <c r="P892" s="19"/>
    </row>
    <row r="893">
      <c r="A893" s="42" t="s">
        <v>127</v>
      </c>
      <c r="C893" s="14"/>
      <c r="D893" s="4" t="s">
        <v>128</v>
      </c>
      <c r="E893" s="25">
        <f t="shared" si="151"/>
        <v>-3333.333333</v>
      </c>
      <c r="P893" s="19"/>
    </row>
    <row r="894">
      <c r="A894" s="32"/>
      <c r="C894" s="14"/>
      <c r="D894" s="4" t="s">
        <v>129</v>
      </c>
      <c r="E894" s="25">
        <f t="shared" si="151"/>
        <v>-16666.66667</v>
      </c>
      <c r="G894" s="43"/>
      <c r="P894" s="19"/>
    </row>
    <row r="895">
      <c r="A895" s="32"/>
      <c r="C895" s="14"/>
      <c r="D895" s="4" t="s">
        <v>130</v>
      </c>
      <c r="E895" s="25">
        <f t="shared" si="151"/>
        <v>-20000</v>
      </c>
      <c r="P895" s="19"/>
    </row>
    <row r="896">
      <c r="A896" s="24"/>
      <c r="C896" s="14"/>
      <c r="D896" s="28" t="s">
        <v>131</v>
      </c>
      <c r="P896" s="19"/>
    </row>
    <row r="897">
      <c r="A897" s="32"/>
      <c r="C897" s="14"/>
      <c r="D897" s="4" t="s">
        <v>132</v>
      </c>
      <c r="E897" s="25">
        <f t="shared" ref="E897:E900" si="152">H886-E878</f>
        <v>-36363.63636</v>
      </c>
      <c r="P897" s="19"/>
    </row>
    <row r="898">
      <c r="A898" s="32"/>
      <c r="C898" s="14"/>
      <c r="D898" s="4" t="s">
        <v>133</v>
      </c>
      <c r="E898" s="25">
        <f t="shared" si="152"/>
        <v>-3030.30303</v>
      </c>
      <c r="G898" s="28" t="s">
        <v>134</v>
      </c>
      <c r="I898" s="35" t="s">
        <v>135</v>
      </c>
      <c r="J898" s="35" t="s">
        <v>82</v>
      </c>
      <c r="P898" s="19"/>
    </row>
    <row r="899">
      <c r="A899" s="32"/>
      <c r="C899" s="14"/>
      <c r="D899" s="4" t="s">
        <v>136</v>
      </c>
      <c r="E899" s="25">
        <f t="shared" si="152"/>
        <v>-15151.51515</v>
      </c>
      <c r="G899" s="35" t="s">
        <v>137</v>
      </c>
      <c r="H899" s="25" t="str">
        <f>(E872/H884)-(25/60)</f>
        <v>#DIV/0!</v>
      </c>
      <c r="I899" s="25" t="str">
        <f t="shared" ref="I899:I900" si="153">INT(H899)</f>
        <v>#DIV/0!</v>
      </c>
      <c r="J899" s="36" t="str">
        <f t="shared" ref="J899:J900" si="154">INT((H899-I899)*60)</f>
        <v>#DIV/0!</v>
      </c>
      <c r="P899" s="19"/>
    </row>
    <row r="900">
      <c r="A900" s="44"/>
      <c r="B900" s="45"/>
      <c r="C900" s="46"/>
      <c r="D900" s="47" t="s">
        <v>138</v>
      </c>
      <c r="E900" s="45">
        <f t="shared" si="152"/>
        <v>-18181.81818</v>
      </c>
      <c r="F900" s="45"/>
      <c r="G900" s="48" t="s">
        <v>139</v>
      </c>
      <c r="H900" s="45" t="str">
        <f>H872-H899</f>
        <v>#DIV/0!</v>
      </c>
      <c r="I900" s="45" t="str">
        <f t="shared" si="153"/>
        <v>#DIV/0!</v>
      </c>
      <c r="J900" s="49" t="str">
        <f t="shared" si="154"/>
        <v>#DIV/0!</v>
      </c>
      <c r="K900" s="45"/>
      <c r="L900" s="45"/>
      <c r="M900" s="45"/>
      <c r="N900" s="45"/>
      <c r="O900" s="45"/>
      <c r="P900" s="50"/>
    </row>
    <row r="901">
      <c r="A901" s="51"/>
      <c r="B901" s="51"/>
      <c r="D901" s="51"/>
    </row>
    <row r="902">
      <c r="D902" s="51"/>
      <c r="I902" s="51"/>
    </row>
    <row r="903">
      <c r="D903" s="51"/>
      <c r="I903" s="51"/>
    </row>
    <row r="904">
      <c r="D904" s="51"/>
      <c r="G904" s="51"/>
    </row>
    <row r="905">
      <c r="G905" s="51"/>
    </row>
    <row r="906">
      <c r="D906" s="51"/>
      <c r="G906" s="51"/>
    </row>
    <row r="907">
      <c r="D907" s="51"/>
      <c r="G907" s="51"/>
    </row>
    <row r="908">
      <c r="D908" s="51"/>
      <c r="G908" s="51"/>
    </row>
    <row r="909">
      <c r="D909" s="51"/>
      <c r="G909" s="51"/>
    </row>
    <row r="910">
      <c r="A910" s="6" t="s">
        <v>70</v>
      </c>
      <c r="B910" s="52"/>
      <c r="C910" s="8"/>
      <c r="D910" s="9" t="s">
        <v>71</v>
      </c>
      <c r="E910" s="10"/>
      <c r="F910" s="10"/>
      <c r="G910" s="10"/>
      <c r="H910" s="10"/>
      <c r="I910" s="10"/>
      <c r="J910" s="10"/>
      <c r="K910" s="9"/>
      <c r="L910" s="10"/>
      <c r="M910" s="10"/>
      <c r="N910" s="10"/>
      <c r="O910" s="10"/>
      <c r="P910" s="11"/>
    </row>
    <row r="911">
      <c r="A911" s="12" t="s">
        <v>72</v>
      </c>
      <c r="B911" s="13">
        <v>1000000.0</v>
      </c>
      <c r="C911" s="14"/>
      <c r="D911" s="53" t="str">
        <f>B910</f>
        <v/>
      </c>
      <c r="E911" s="16" t="s">
        <v>73</v>
      </c>
      <c r="F911" s="17"/>
      <c r="G911" s="16" t="s">
        <v>74</v>
      </c>
      <c r="H911" s="16" t="s">
        <v>75</v>
      </c>
      <c r="I911" s="16" t="s">
        <v>76</v>
      </c>
      <c r="J911" s="18" t="s">
        <v>77</v>
      </c>
      <c r="P911" s="19"/>
    </row>
    <row r="912">
      <c r="A912" s="12" t="s">
        <v>78</v>
      </c>
      <c r="B912" s="13">
        <v>1000000.0</v>
      </c>
      <c r="C912" s="14"/>
      <c r="D912" s="20" t="s">
        <v>72</v>
      </c>
      <c r="E912" s="21">
        <f t="shared" ref="E912:E913" si="155">B911</f>
        <v>1000000</v>
      </c>
      <c r="F912" s="20" t="s">
        <v>79</v>
      </c>
      <c r="G912" s="21">
        <f t="shared" ref="G912:G913" si="156">B914</f>
        <v>4</v>
      </c>
      <c r="H912" s="4">
        <f>G912+(G913/60)</f>
        <v>4.166666667</v>
      </c>
      <c r="I912" s="21">
        <f>B919</f>
        <v>6</v>
      </c>
      <c r="J912" s="22" t="s">
        <v>80</v>
      </c>
      <c r="K912" s="23">
        <f>B921/B922</f>
        <v>0</v>
      </c>
      <c r="P912" s="19"/>
    </row>
    <row r="913">
      <c r="A913" s="12" t="s">
        <v>81</v>
      </c>
      <c r="B913" s="14"/>
      <c r="C913" s="14"/>
      <c r="D913" s="20" t="s">
        <v>78</v>
      </c>
      <c r="E913" s="21">
        <f t="shared" si="155"/>
        <v>1000000</v>
      </c>
      <c r="F913" s="20" t="s">
        <v>82</v>
      </c>
      <c r="G913" s="21">
        <f t="shared" si="156"/>
        <v>10</v>
      </c>
      <c r="J913" s="22" t="s">
        <v>83</v>
      </c>
      <c r="K913" s="23">
        <f>B923/B924</f>
        <v>0</v>
      </c>
      <c r="P913" s="19"/>
    </row>
    <row r="914">
      <c r="A914" s="24" t="s">
        <v>79</v>
      </c>
      <c r="B914" s="13">
        <v>4.0</v>
      </c>
      <c r="C914" s="14"/>
      <c r="D914" s="20" t="s">
        <v>84</v>
      </c>
      <c r="E914" s="25">
        <f>E912-E913</f>
        <v>0</v>
      </c>
      <c r="F914" s="26"/>
      <c r="G914" s="16" t="s">
        <v>85</v>
      </c>
      <c r="H914" s="16" t="s">
        <v>86</v>
      </c>
      <c r="I914" s="16" t="s">
        <v>87</v>
      </c>
      <c r="J914" s="22" t="s">
        <v>88</v>
      </c>
      <c r="K914" s="23">
        <f>B925/B926</f>
        <v>0</v>
      </c>
      <c r="P914" s="19"/>
    </row>
    <row r="915">
      <c r="A915" s="24" t="s">
        <v>89</v>
      </c>
      <c r="B915" s="13">
        <v>10.0</v>
      </c>
      <c r="C915" s="14"/>
      <c r="D915" s="16" t="s">
        <v>90</v>
      </c>
      <c r="F915" s="20" t="s">
        <v>79</v>
      </c>
      <c r="G915" s="21">
        <f t="shared" ref="G915:G916" si="157">B917</f>
        <v>4</v>
      </c>
      <c r="H915" s="25">
        <f>G915+(G916/60)</f>
        <v>4.166666667</v>
      </c>
      <c r="I915" s="25">
        <f>H912-H915</f>
        <v>0</v>
      </c>
      <c r="J915" s="22" t="s">
        <v>91</v>
      </c>
      <c r="K915" s="23">
        <f>B927/B928</f>
        <v>0</v>
      </c>
      <c r="P915" s="19"/>
    </row>
    <row r="916">
      <c r="A916" s="12" t="s">
        <v>85</v>
      </c>
      <c r="B916" s="27"/>
      <c r="C916" s="14"/>
      <c r="D916" s="28" t="s">
        <v>92</v>
      </c>
      <c r="E916" s="25">
        <f>E912/H921</f>
        <v>218181.8182</v>
      </c>
      <c r="F916" s="20" t="s">
        <v>82</v>
      </c>
      <c r="G916" s="21">
        <f t="shared" si="157"/>
        <v>10</v>
      </c>
      <c r="J916" s="22" t="s">
        <v>93</v>
      </c>
      <c r="K916" s="23">
        <f>B929/B930</f>
        <v>0</v>
      </c>
      <c r="P916" s="19"/>
    </row>
    <row r="917">
      <c r="A917" s="24" t="s">
        <v>79</v>
      </c>
      <c r="B917" s="13">
        <v>4.0</v>
      </c>
      <c r="C917" s="14"/>
      <c r="D917" s="28" t="s">
        <v>94</v>
      </c>
      <c r="E917" s="25">
        <f>E912/I912</f>
        <v>166666.6667</v>
      </c>
      <c r="J917" s="22" t="s">
        <v>95</v>
      </c>
      <c r="K917" s="23">
        <f>B931/B932</f>
        <v>0</v>
      </c>
      <c r="P917" s="19"/>
    </row>
    <row r="918">
      <c r="A918" s="24" t="s">
        <v>89</v>
      </c>
      <c r="B918" s="13">
        <v>10.0</v>
      </c>
      <c r="C918" s="14"/>
      <c r="D918" s="28" t="s">
        <v>96</v>
      </c>
      <c r="E918" s="25">
        <f>E916/I912</f>
        <v>36363.63636</v>
      </c>
      <c r="J918" s="29" t="s">
        <v>97</v>
      </c>
      <c r="K918" s="30">
        <f>SUM(K912:K917)</f>
        <v>0</v>
      </c>
      <c r="P918" s="19"/>
    </row>
    <row r="919">
      <c r="A919" s="12" t="s">
        <v>98</v>
      </c>
      <c r="B919" s="13">
        <v>6.0</v>
      </c>
      <c r="C919" s="14"/>
      <c r="D919" s="28" t="s">
        <v>99</v>
      </c>
      <c r="E919" s="31">
        <f>E918/12</f>
        <v>3030.30303</v>
      </c>
      <c r="I919" s="29"/>
      <c r="J919" s="29" t="s">
        <v>100</v>
      </c>
      <c r="K919" s="30">
        <f>H929</f>
        <v>0</v>
      </c>
      <c r="P919" s="19"/>
    </row>
    <row r="920">
      <c r="A920" s="32"/>
      <c r="B920" s="14"/>
      <c r="C920" s="14"/>
      <c r="D920" s="28" t="s">
        <v>101</v>
      </c>
      <c r="E920" s="25">
        <f>E919*5</f>
        <v>15151.51515</v>
      </c>
      <c r="J920" s="29" t="s">
        <v>102</v>
      </c>
      <c r="K920" s="30">
        <f>E921</f>
        <v>18181.81818</v>
      </c>
      <c r="P920" s="19"/>
    </row>
    <row r="921">
      <c r="A921" s="33" t="s">
        <v>103</v>
      </c>
      <c r="B921" s="34">
        <v>0.0</v>
      </c>
      <c r="C921" s="14"/>
      <c r="D921" s="28" t="s">
        <v>104</v>
      </c>
      <c r="E921" s="25">
        <f>E919*6</f>
        <v>18181.81818</v>
      </c>
      <c r="G921" s="35" t="s">
        <v>105</v>
      </c>
      <c r="H921" s="36">
        <f>H912+(25/60)</f>
        <v>4.583333333</v>
      </c>
      <c r="J921" s="29" t="s">
        <v>106</v>
      </c>
      <c r="K921" s="30">
        <f>E929</f>
        <v>20000</v>
      </c>
      <c r="P921" s="19"/>
    </row>
    <row r="922">
      <c r="A922" s="37" t="s">
        <v>107</v>
      </c>
      <c r="B922" s="38">
        <v>1.0</v>
      </c>
      <c r="C922" s="14"/>
      <c r="G922" s="35" t="s">
        <v>108</v>
      </c>
      <c r="H922" s="36">
        <f>I915+(25/60)</f>
        <v>0.4166666667</v>
      </c>
      <c r="I922" s="39" t="s">
        <v>109</v>
      </c>
      <c r="P922" s="19"/>
    </row>
    <row r="923">
      <c r="A923" s="40" t="s">
        <v>110</v>
      </c>
      <c r="B923" s="13">
        <v>0.0</v>
      </c>
      <c r="C923" s="14"/>
      <c r="D923" s="16" t="s">
        <v>111</v>
      </c>
      <c r="G923" s="16" t="s">
        <v>112</v>
      </c>
      <c r="H923" s="36"/>
      <c r="I923" s="39" t="s">
        <v>113</v>
      </c>
      <c r="P923" s="19"/>
    </row>
    <row r="924">
      <c r="A924" s="37" t="s">
        <v>114</v>
      </c>
      <c r="B924" s="38">
        <v>1.0</v>
      </c>
      <c r="C924" s="14"/>
      <c r="D924" s="28" t="s">
        <v>92</v>
      </c>
      <c r="E924" s="25">
        <f>E913/H915</f>
        <v>240000</v>
      </c>
      <c r="G924" s="28" t="s">
        <v>92</v>
      </c>
      <c r="H924" s="36">
        <f>E914/H922</f>
        <v>0</v>
      </c>
      <c r="I924" s="39" t="s">
        <v>115</v>
      </c>
      <c r="P924" s="19"/>
    </row>
    <row r="925">
      <c r="A925" s="40" t="s">
        <v>116</v>
      </c>
      <c r="B925" s="13">
        <v>0.0</v>
      </c>
      <c r="C925" s="14"/>
      <c r="D925" s="28" t="s">
        <v>94</v>
      </c>
      <c r="E925" s="25">
        <f>E913/I912</f>
        <v>166666.6667</v>
      </c>
      <c r="G925" s="28" t="s">
        <v>94</v>
      </c>
      <c r="H925" s="36">
        <f>E914/I912</f>
        <v>0</v>
      </c>
      <c r="I925" s="39" t="s">
        <v>117</v>
      </c>
      <c r="P925" s="19"/>
    </row>
    <row r="926">
      <c r="A926" s="37" t="s">
        <v>118</v>
      </c>
      <c r="B926" s="38">
        <v>1.0</v>
      </c>
      <c r="C926" s="14"/>
      <c r="D926" s="28" t="s">
        <v>96</v>
      </c>
      <c r="E926" s="25">
        <f>E925/H915</f>
        <v>40000</v>
      </c>
      <c r="G926" s="28" t="s">
        <v>96</v>
      </c>
      <c r="H926" s="36">
        <f>H925/H922</f>
        <v>0</v>
      </c>
      <c r="P926" s="19"/>
    </row>
    <row r="927">
      <c r="A927" s="40" t="s">
        <v>119</v>
      </c>
      <c r="B927" s="13">
        <v>0.0</v>
      </c>
      <c r="C927" s="14"/>
      <c r="D927" s="28" t="s">
        <v>99</v>
      </c>
      <c r="E927" s="25">
        <f>E926/12</f>
        <v>3333.333333</v>
      </c>
      <c r="G927" s="28" t="s">
        <v>99</v>
      </c>
      <c r="H927" s="36">
        <f>H926/12</f>
        <v>0</v>
      </c>
      <c r="P927" s="19"/>
    </row>
    <row r="928">
      <c r="A928" s="37" t="s">
        <v>120</v>
      </c>
      <c r="B928" s="38">
        <v>1.0</v>
      </c>
      <c r="C928" s="14"/>
      <c r="D928" s="28" t="s">
        <v>101</v>
      </c>
      <c r="E928" s="25">
        <f>E927*5</f>
        <v>16666.66667</v>
      </c>
      <c r="G928" s="28" t="s">
        <v>101</v>
      </c>
      <c r="H928" s="36">
        <f>H927*5</f>
        <v>0</v>
      </c>
      <c r="P928" s="19"/>
    </row>
    <row r="929">
      <c r="A929" s="40" t="s">
        <v>121</v>
      </c>
      <c r="B929" s="13">
        <v>0.0</v>
      </c>
      <c r="C929" s="14"/>
      <c r="D929" s="28" t="s">
        <v>104</v>
      </c>
      <c r="E929" s="25">
        <f>E927*6</f>
        <v>20000</v>
      </c>
      <c r="G929" s="28" t="s">
        <v>104</v>
      </c>
      <c r="H929" s="36">
        <f>H927*6</f>
        <v>0</v>
      </c>
      <c r="P929" s="19"/>
    </row>
    <row r="930">
      <c r="A930" s="37" t="s">
        <v>122</v>
      </c>
      <c r="B930" s="38">
        <v>1.0</v>
      </c>
      <c r="C930" s="14"/>
      <c r="P930" s="19"/>
    </row>
    <row r="931">
      <c r="A931" s="40" t="s">
        <v>123</v>
      </c>
      <c r="B931" s="13">
        <v>0.0</v>
      </c>
      <c r="C931" s="14"/>
      <c r="D931" s="28" t="s">
        <v>124</v>
      </c>
      <c r="E931" s="41"/>
      <c r="F931" s="41"/>
      <c r="P931" s="19"/>
    </row>
    <row r="932">
      <c r="A932" s="37" t="s">
        <v>125</v>
      </c>
      <c r="B932" s="38">
        <v>1.0</v>
      </c>
      <c r="C932" s="14"/>
      <c r="D932" s="4" t="s">
        <v>126</v>
      </c>
      <c r="E932" s="25">
        <f t="shared" ref="E932:E935" si="158">H926-E926</f>
        <v>-40000</v>
      </c>
      <c r="P932" s="19"/>
    </row>
    <row r="933">
      <c r="A933" s="42" t="s">
        <v>127</v>
      </c>
      <c r="C933" s="14"/>
      <c r="D933" s="4" t="s">
        <v>128</v>
      </c>
      <c r="E933" s="25">
        <f t="shared" si="158"/>
        <v>-3333.333333</v>
      </c>
      <c r="P933" s="19"/>
    </row>
    <row r="934">
      <c r="A934" s="32"/>
      <c r="C934" s="14"/>
      <c r="D934" s="4" t="s">
        <v>129</v>
      </c>
      <c r="E934" s="25">
        <f t="shared" si="158"/>
        <v>-16666.66667</v>
      </c>
      <c r="G934" s="43"/>
      <c r="P934" s="19"/>
    </row>
    <row r="935">
      <c r="A935" s="32"/>
      <c r="C935" s="14"/>
      <c r="D935" s="4" t="s">
        <v>130</v>
      </c>
      <c r="E935" s="25">
        <f t="shared" si="158"/>
        <v>-20000</v>
      </c>
      <c r="P935" s="19"/>
    </row>
    <row r="936">
      <c r="A936" s="24"/>
      <c r="C936" s="14"/>
      <c r="D936" s="28" t="s">
        <v>131</v>
      </c>
      <c r="P936" s="19"/>
    </row>
    <row r="937">
      <c r="A937" s="32"/>
      <c r="C937" s="14"/>
      <c r="D937" s="4" t="s">
        <v>132</v>
      </c>
      <c r="E937" s="25">
        <f t="shared" ref="E937:E940" si="159">H926-E918</f>
        <v>-36363.63636</v>
      </c>
      <c r="P937" s="19"/>
    </row>
    <row r="938">
      <c r="A938" s="32"/>
      <c r="C938" s="14"/>
      <c r="D938" s="4" t="s">
        <v>133</v>
      </c>
      <c r="E938" s="25">
        <f t="shared" si="159"/>
        <v>-3030.30303</v>
      </c>
      <c r="G938" s="28" t="s">
        <v>134</v>
      </c>
      <c r="I938" s="35" t="s">
        <v>135</v>
      </c>
      <c r="J938" s="35" t="s">
        <v>82</v>
      </c>
      <c r="P938" s="19"/>
    </row>
    <row r="939">
      <c r="A939" s="32"/>
      <c r="C939" s="14"/>
      <c r="D939" s="4" t="s">
        <v>136</v>
      </c>
      <c r="E939" s="25">
        <f t="shared" si="159"/>
        <v>-15151.51515</v>
      </c>
      <c r="G939" s="35" t="s">
        <v>137</v>
      </c>
      <c r="H939" s="25" t="str">
        <f>(E912/H924)-(25/60)</f>
        <v>#DIV/0!</v>
      </c>
      <c r="I939" s="25" t="str">
        <f t="shared" ref="I939:I940" si="160">INT(H939)</f>
        <v>#DIV/0!</v>
      </c>
      <c r="J939" s="36" t="str">
        <f t="shared" ref="J939:J940" si="161">INT((H939-I939)*60)</f>
        <v>#DIV/0!</v>
      </c>
      <c r="P939" s="19"/>
    </row>
    <row r="940">
      <c r="A940" s="44"/>
      <c r="B940" s="45"/>
      <c r="C940" s="46"/>
      <c r="D940" s="47" t="s">
        <v>138</v>
      </c>
      <c r="E940" s="45">
        <f t="shared" si="159"/>
        <v>-18181.81818</v>
      </c>
      <c r="F940" s="45"/>
      <c r="G940" s="48" t="s">
        <v>139</v>
      </c>
      <c r="H940" s="45" t="str">
        <f>H912-H939</f>
        <v>#DIV/0!</v>
      </c>
      <c r="I940" s="45" t="str">
        <f t="shared" si="160"/>
        <v>#DIV/0!</v>
      </c>
      <c r="J940" s="49" t="str">
        <f t="shared" si="161"/>
        <v>#DIV/0!</v>
      </c>
      <c r="K940" s="45"/>
      <c r="L940" s="45"/>
      <c r="M940" s="45"/>
      <c r="N940" s="45"/>
      <c r="O940" s="45"/>
      <c r="P940" s="50"/>
    </row>
    <row r="941">
      <c r="A941" s="51"/>
      <c r="B941" s="51"/>
      <c r="D941" s="51"/>
    </row>
    <row r="942">
      <c r="D942" s="51"/>
      <c r="I942" s="51"/>
    </row>
    <row r="943">
      <c r="D943" s="51"/>
      <c r="I943" s="51"/>
    </row>
    <row r="944">
      <c r="A944" s="51"/>
      <c r="D944" s="51"/>
      <c r="G944" s="51"/>
    </row>
    <row r="945">
      <c r="A945" s="51"/>
      <c r="G945" s="51"/>
    </row>
    <row r="946">
      <c r="A946" s="51"/>
      <c r="D946" s="51"/>
      <c r="G946" s="51"/>
    </row>
    <row r="947">
      <c r="A947" s="51"/>
      <c r="D947" s="51"/>
      <c r="G947" s="51"/>
    </row>
    <row r="948">
      <c r="A948" s="51"/>
      <c r="D948" s="51"/>
      <c r="G948" s="51"/>
    </row>
    <row r="949">
      <c r="A949" s="51"/>
      <c r="D949" s="51"/>
      <c r="G949" s="51"/>
    </row>
    <row r="950">
      <c r="A950" s="6" t="s">
        <v>70</v>
      </c>
      <c r="B950" s="52"/>
      <c r="C950" s="8"/>
      <c r="D950" s="9" t="s">
        <v>71</v>
      </c>
      <c r="E950" s="10"/>
      <c r="F950" s="10"/>
      <c r="G950" s="10"/>
      <c r="H950" s="10"/>
      <c r="I950" s="10"/>
      <c r="J950" s="10"/>
      <c r="K950" s="9"/>
      <c r="L950" s="10"/>
      <c r="M950" s="10"/>
      <c r="N950" s="10"/>
      <c r="O950" s="10"/>
      <c r="P950" s="11"/>
    </row>
    <row r="951">
      <c r="A951" s="12" t="s">
        <v>72</v>
      </c>
      <c r="B951" s="13">
        <v>1000000.0</v>
      </c>
      <c r="C951" s="14"/>
      <c r="D951" s="53" t="str">
        <f>B950</f>
        <v/>
      </c>
      <c r="E951" s="16" t="s">
        <v>73</v>
      </c>
      <c r="F951" s="17"/>
      <c r="G951" s="16" t="s">
        <v>74</v>
      </c>
      <c r="H951" s="16" t="s">
        <v>75</v>
      </c>
      <c r="I951" s="16" t="s">
        <v>76</v>
      </c>
      <c r="J951" s="18" t="s">
        <v>77</v>
      </c>
      <c r="P951" s="19"/>
    </row>
    <row r="952">
      <c r="A952" s="12" t="s">
        <v>78</v>
      </c>
      <c r="B952" s="13">
        <v>1000000.0</v>
      </c>
      <c r="C952" s="14"/>
      <c r="D952" s="20" t="s">
        <v>72</v>
      </c>
      <c r="E952" s="21">
        <f t="shared" ref="E952:E953" si="162">B951</f>
        <v>1000000</v>
      </c>
      <c r="F952" s="20" t="s">
        <v>79</v>
      </c>
      <c r="G952" s="21">
        <f t="shared" ref="G952:G953" si="163">B954</f>
        <v>4</v>
      </c>
      <c r="H952" s="4">
        <f>G952+(G953/60)</f>
        <v>4.166666667</v>
      </c>
      <c r="I952" s="21">
        <f>B959</f>
        <v>6</v>
      </c>
      <c r="J952" s="22" t="s">
        <v>80</v>
      </c>
      <c r="K952" s="23">
        <f>B961/B962</f>
        <v>0</v>
      </c>
      <c r="P952" s="19"/>
    </row>
    <row r="953">
      <c r="A953" s="12" t="s">
        <v>81</v>
      </c>
      <c r="B953" s="14"/>
      <c r="C953" s="14"/>
      <c r="D953" s="20" t="s">
        <v>78</v>
      </c>
      <c r="E953" s="21">
        <f t="shared" si="162"/>
        <v>1000000</v>
      </c>
      <c r="F953" s="20" t="s">
        <v>82</v>
      </c>
      <c r="G953" s="21">
        <f t="shared" si="163"/>
        <v>10</v>
      </c>
      <c r="J953" s="22" t="s">
        <v>83</v>
      </c>
      <c r="K953" s="23">
        <f>B963/B964</f>
        <v>0</v>
      </c>
      <c r="P953" s="19"/>
    </row>
    <row r="954">
      <c r="A954" s="24" t="s">
        <v>79</v>
      </c>
      <c r="B954" s="13">
        <v>4.0</v>
      </c>
      <c r="C954" s="14"/>
      <c r="D954" s="20" t="s">
        <v>84</v>
      </c>
      <c r="E954" s="25">
        <f>E952-E953</f>
        <v>0</v>
      </c>
      <c r="F954" s="26"/>
      <c r="G954" s="16" t="s">
        <v>85</v>
      </c>
      <c r="H954" s="16" t="s">
        <v>86</v>
      </c>
      <c r="I954" s="16" t="s">
        <v>87</v>
      </c>
      <c r="J954" s="22" t="s">
        <v>88</v>
      </c>
      <c r="K954" s="23">
        <f>B965/B966</f>
        <v>0</v>
      </c>
      <c r="P954" s="19"/>
    </row>
    <row r="955">
      <c r="A955" s="24" t="s">
        <v>89</v>
      </c>
      <c r="B955" s="13">
        <v>10.0</v>
      </c>
      <c r="C955" s="14"/>
      <c r="D955" s="16" t="s">
        <v>90</v>
      </c>
      <c r="F955" s="20" t="s">
        <v>79</v>
      </c>
      <c r="G955" s="21">
        <f t="shared" ref="G955:G956" si="164">B957</f>
        <v>4</v>
      </c>
      <c r="H955" s="25">
        <f>G955+(G956/60)</f>
        <v>4.166666667</v>
      </c>
      <c r="I955" s="25">
        <f>H952-H955</f>
        <v>0</v>
      </c>
      <c r="J955" s="22" t="s">
        <v>91</v>
      </c>
      <c r="K955" s="23">
        <f>B967/B968</f>
        <v>0</v>
      </c>
      <c r="P955" s="19"/>
    </row>
    <row r="956">
      <c r="A956" s="12" t="s">
        <v>85</v>
      </c>
      <c r="B956" s="27"/>
      <c r="C956" s="14"/>
      <c r="D956" s="28" t="s">
        <v>92</v>
      </c>
      <c r="E956" s="25">
        <f>E952/H961</f>
        <v>218181.8182</v>
      </c>
      <c r="F956" s="20" t="s">
        <v>82</v>
      </c>
      <c r="G956" s="21">
        <f t="shared" si="164"/>
        <v>10</v>
      </c>
      <c r="J956" s="22" t="s">
        <v>93</v>
      </c>
      <c r="K956" s="23">
        <f>B969/B970</f>
        <v>0</v>
      </c>
      <c r="P956" s="19"/>
    </row>
    <row r="957">
      <c r="A957" s="24" t="s">
        <v>79</v>
      </c>
      <c r="B957" s="13">
        <v>4.0</v>
      </c>
      <c r="C957" s="14"/>
      <c r="D957" s="28" t="s">
        <v>94</v>
      </c>
      <c r="E957" s="25">
        <f>E952/I952</f>
        <v>166666.6667</v>
      </c>
      <c r="J957" s="22" t="s">
        <v>95</v>
      </c>
      <c r="K957" s="23">
        <f>B971/B972</f>
        <v>0</v>
      </c>
      <c r="P957" s="19"/>
    </row>
    <row r="958">
      <c r="A958" s="24" t="s">
        <v>89</v>
      </c>
      <c r="B958" s="13">
        <v>10.0</v>
      </c>
      <c r="C958" s="14"/>
      <c r="D958" s="28" t="s">
        <v>96</v>
      </c>
      <c r="E958" s="25">
        <f>E956/I952</f>
        <v>36363.63636</v>
      </c>
      <c r="J958" s="29" t="s">
        <v>97</v>
      </c>
      <c r="K958" s="30">
        <f>SUM(K952:K957)</f>
        <v>0</v>
      </c>
      <c r="P958" s="19"/>
    </row>
    <row r="959">
      <c r="A959" s="12" t="s">
        <v>98</v>
      </c>
      <c r="B959" s="13">
        <v>6.0</v>
      </c>
      <c r="C959" s="14"/>
      <c r="D959" s="28" t="s">
        <v>99</v>
      </c>
      <c r="E959" s="31">
        <f>E958/12</f>
        <v>3030.30303</v>
      </c>
      <c r="I959" s="29"/>
      <c r="J959" s="29" t="s">
        <v>100</v>
      </c>
      <c r="K959" s="30">
        <f>H969</f>
        <v>0</v>
      </c>
      <c r="P959" s="19"/>
    </row>
    <row r="960">
      <c r="A960" s="32"/>
      <c r="B960" s="14"/>
      <c r="C960" s="14"/>
      <c r="D960" s="28" t="s">
        <v>101</v>
      </c>
      <c r="E960" s="25">
        <f>E959*5</f>
        <v>15151.51515</v>
      </c>
      <c r="J960" s="29" t="s">
        <v>102</v>
      </c>
      <c r="K960" s="30">
        <f>E961</f>
        <v>18181.81818</v>
      </c>
      <c r="P960" s="19"/>
    </row>
    <row r="961">
      <c r="A961" s="33" t="s">
        <v>103</v>
      </c>
      <c r="B961" s="34">
        <v>0.0</v>
      </c>
      <c r="C961" s="14"/>
      <c r="D961" s="28" t="s">
        <v>104</v>
      </c>
      <c r="E961" s="25">
        <f>E959*6</f>
        <v>18181.81818</v>
      </c>
      <c r="G961" s="35" t="s">
        <v>105</v>
      </c>
      <c r="H961" s="36">
        <f>H952+(25/60)</f>
        <v>4.583333333</v>
      </c>
      <c r="J961" s="29" t="s">
        <v>106</v>
      </c>
      <c r="K961" s="30">
        <f>E969</f>
        <v>20000</v>
      </c>
      <c r="P961" s="19"/>
    </row>
    <row r="962">
      <c r="A962" s="37" t="s">
        <v>107</v>
      </c>
      <c r="B962" s="38">
        <v>1.0</v>
      </c>
      <c r="C962" s="14"/>
      <c r="G962" s="35" t="s">
        <v>108</v>
      </c>
      <c r="H962" s="36">
        <f>I955+(25/60)</f>
        <v>0.4166666667</v>
      </c>
      <c r="I962" s="39" t="s">
        <v>109</v>
      </c>
      <c r="P962" s="19"/>
    </row>
    <row r="963">
      <c r="A963" s="40" t="s">
        <v>110</v>
      </c>
      <c r="B963" s="13">
        <v>0.0</v>
      </c>
      <c r="C963" s="14"/>
      <c r="D963" s="16" t="s">
        <v>111</v>
      </c>
      <c r="G963" s="16" t="s">
        <v>112</v>
      </c>
      <c r="H963" s="36"/>
      <c r="I963" s="39" t="s">
        <v>113</v>
      </c>
      <c r="P963" s="19"/>
    </row>
    <row r="964">
      <c r="A964" s="37" t="s">
        <v>114</v>
      </c>
      <c r="B964" s="38">
        <v>1.0</v>
      </c>
      <c r="C964" s="14"/>
      <c r="D964" s="28" t="s">
        <v>92</v>
      </c>
      <c r="E964" s="25">
        <f>E953/H955</f>
        <v>240000</v>
      </c>
      <c r="G964" s="28" t="s">
        <v>92</v>
      </c>
      <c r="H964" s="36">
        <f>E954/H962</f>
        <v>0</v>
      </c>
      <c r="I964" s="39" t="s">
        <v>115</v>
      </c>
      <c r="P964" s="19"/>
    </row>
    <row r="965">
      <c r="A965" s="40" t="s">
        <v>116</v>
      </c>
      <c r="B965" s="13">
        <v>0.0</v>
      </c>
      <c r="C965" s="14"/>
      <c r="D965" s="28" t="s">
        <v>94</v>
      </c>
      <c r="E965" s="25">
        <f>E953/I952</f>
        <v>166666.6667</v>
      </c>
      <c r="G965" s="28" t="s">
        <v>94</v>
      </c>
      <c r="H965" s="36">
        <f>E954/I952</f>
        <v>0</v>
      </c>
      <c r="I965" s="39" t="s">
        <v>117</v>
      </c>
      <c r="P965" s="19"/>
    </row>
    <row r="966">
      <c r="A966" s="37" t="s">
        <v>118</v>
      </c>
      <c r="B966" s="38">
        <v>1.0</v>
      </c>
      <c r="C966" s="14"/>
      <c r="D966" s="28" t="s">
        <v>96</v>
      </c>
      <c r="E966" s="25">
        <f>E965/H955</f>
        <v>40000</v>
      </c>
      <c r="G966" s="28" t="s">
        <v>96</v>
      </c>
      <c r="H966" s="36">
        <f>H965/H962</f>
        <v>0</v>
      </c>
      <c r="P966" s="19"/>
    </row>
    <row r="967">
      <c r="A967" s="40" t="s">
        <v>119</v>
      </c>
      <c r="B967" s="13">
        <v>0.0</v>
      </c>
      <c r="C967" s="14"/>
      <c r="D967" s="28" t="s">
        <v>99</v>
      </c>
      <c r="E967" s="25">
        <f>E966/12</f>
        <v>3333.333333</v>
      </c>
      <c r="G967" s="28" t="s">
        <v>99</v>
      </c>
      <c r="H967" s="36">
        <f>H966/12</f>
        <v>0</v>
      </c>
      <c r="P967" s="19"/>
    </row>
    <row r="968">
      <c r="A968" s="37" t="s">
        <v>120</v>
      </c>
      <c r="B968" s="38">
        <v>1.0</v>
      </c>
      <c r="C968" s="14"/>
      <c r="D968" s="28" t="s">
        <v>101</v>
      </c>
      <c r="E968" s="25">
        <f>E967*5</f>
        <v>16666.66667</v>
      </c>
      <c r="G968" s="28" t="s">
        <v>101</v>
      </c>
      <c r="H968" s="36">
        <f>H967*5</f>
        <v>0</v>
      </c>
      <c r="P968" s="19"/>
    </row>
    <row r="969">
      <c r="A969" s="40" t="s">
        <v>121</v>
      </c>
      <c r="B969" s="13">
        <v>0.0</v>
      </c>
      <c r="C969" s="14"/>
      <c r="D969" s="28" t="s">
        <v>104</v>
      </c>
      <c r="E969" s="25">
        <f>E967*6</f>
        <v>20000</v>
      </c>
      <c r="G969" s="28" t="s">
        <v>104</v>
      </c>
      <c r="H969" s="36">
        <f>H967*6</f>
        <v>0</v>
      </c>
      <c r="P969" s="19"/>
    </row>
    <row r="970">
      <c r="A970" s="37" t="s">
        <v>122</v>
      </c>
      <c r="B970" s="38">
        <v>1.0</v>
      </c>
      <c r="C970" s="14"/>
      <c r="P970" s="19"/>
    </row>
    <row r="971">
      <c r="A971" s="40" t="s">
        <v>123</v>
      </c>
      <c r="B971" s="13">
        <v>0.0</v>
      </c>
      <c r="C971" s="14"/>
      <c r="D971" s="28" t="s">
        <v>124</v>
      </c>
      <c r="E971" s="41"/>
      <c r="F971" s="41"/>
      <c r="P971" s="19"/>
    </row>
    <row r="972">
      <c r="A972" s="37" t="s">
        <v>125</v>
      </c>
      <c r="B972" s="38">
        <v>1.0</v>
      </c>
      <c r="C972" s="14"/>
      <c r="D972" s="4" t="s">
        <v>126</v>
      </c>
      <c r="E972" s="25">
        <f t="shared" ref="E972:E975" si="165">H966-E966</f>
        <v>-40000</v>
      </c>
      <c r="P972" s="19"/>
    </row>
    <row r="973">
      <c r="A973" s="42" t="s">
        <v>127</v>
      </c>
      <c r="C973" s="14"/>
      <c r="D973" s="4" t="s">
        <v>128</v>
      </c>
      <c r="E973" s="25">
        <f t="shared" si="165"/>
        <v>-3333.333333</v>
      </c>
      <c r="P973" s="19"/>
    </row>
    <row r="974">
      <c r="A974" s="32"/>
      <c r="C974" s="14"/>
      <c r="D974" s="4" t="s">
        <v>129</v>
      </c>
      <c r="E974" s="25">
        <f t="shared" si="165"/>
        <v>-16666.66667</v>
      </c>
      <c r="G974" s="43"/>
      <c r="P974" s="19"/>
    </row>
    <row r="975">
      <c r="A975" s="32"/>
      <c r="C975" s="14"/>
      <c r="D975" s="4" t="s">
        <v>130</v>
      </c>
      <c r="E975" s="25">
        <f t="shared" si="165"/>
        <v>-20000</v>
      </c>
      <c r="P975" s="19"/>
    </row>
    <row r="976">
      <c r="A976" s="24"/>
      <c r="C976" s="14"/>
      <c r="D976" s="28" t="s">
        <v>131</v>
      </c>
      <c r="P976" s="19"/>
    </row>
    <row r="977">
      <c r="A977" s="32"/>
      <c r="C977" s="14"/>
      <c r="D977" s="4" t="s">
        <v>132</v>
      </c>
      <c r="E977" s="25">
        <f t="shared" ref="E977:E980" si="166">H966-E958</f>
        <v>-36363.63636</v>
      </c>
      <c r="P977" s="19"/>
    </row>
    <row r="978">
      <c r="A978" s="32"/>
      <c r="C978" s="14"/>
      <c r="D978" s="4" t="s">
        <v>133</v>
      </c>
      <c r="E978" s="25">
        <f t="shared" si="166"/>
        <v>-3030.30303</v>
      </c>
      <c r="G978" s="28" t="s">
        <v>134</v>
      </c>
      <c r="I978" s="35" t="s">
        <v>135</v>
      </c>
      <c r="J978" s="35" t="s">
        <v>82</v>
      </c>
      <c r="P978" s="19"/>
    </row>
    <row r="979">
      <c r="A979" s="32"/>
      <c r="C979" s="14"/>
      <c r="D979" s="4" t="s">
        <v>136</v>
      </c>
      <c r="E979" s="25">
        <f t="shared" si="166"/>
        <v>-15151.51515</v>
      </c>
      <c r="G979" s="35" t="s">
        <v>137</v>
      </c>
      <c r="H979" s="25" t="str">
        <f>(E952/H964)-(25/60)</f>
        <v>#DIV/0!</v>
      </c>
      <c r="I979" s="25" t="str">
        <f t="shared" ref="I979:I980" si="167">INT(H979)</f>
        <v>#DIV/0!</v>
      </c>
      <c r="J979" s="36" t="str">
        <f t="shared" ref="J979:J980" si="168">INT((H979-I979)*60)</f>
        <v>#DIV/0!</v>
      </c>
      <c r="P979" s="19"/>
    </row>
    <row r="980">
      <c r="A980" s="44"/>
      <c r="B980" s="45"/>
      <c r="C980" s="46"/>
      <c r="D980" s="47" t="s">
        <v>138</v>
      </c>
      <c r="E980" s="45">
        <f t="shared" si="166"/>
        <v>-18181.81818</v>
      </c>
      <c r="F980" s="45"/>
      <c r="G980" s="48" t="s">
        <v>139</v>
      </c>
      <c r="H980" s="45" t="str">
        <f>H952-H979</f>
        <v>#DIV/0!</v>
      </c>
      <c r="I980" s="45" t="str">
        <f t="shared" si="167"/>
        <v>#DIV/0!</v>
      </c>
      <c r="J980" s="49" t="str">
        <f t="shared" si="168"/>
        <v>#DIV/0!</v>
      </c>
      <c r="K980" s="45"/>
      <c r="L980" s="45"/>
      <c r="M980" s="45"/>
      <c r="N980" s="45"/>
      <c r="O980" s="45"/>
      <c r="P980" s="50"/>
    </row>
    <row r="982">
      <c r="A982" s="51"/>
      <c r="D982" s="51"/>
    </row>
    <row r="983">
      <c r="A983" s="51"/>
      <c r="B983" s="51"/>
      <c r="E983" s="51"/>
      <c r="G983" s="51"/>
      <c r="H983" s="51"/>
      <c r="I983" s="51"/>
    </row>
    <row r="984">
      <c r="A984" s="51"/>
      <c r="B984" s="51"/>
      <c r="D984" s="51"/>
      <c r="E984" s="51"/>
      <c r="F984" s="51"/>
      <c r="G984" s="51"/>
      <c r="I984" s="51"/>
    </row>
    <row r="985">
      <c r="A985" s="51"/>
      <c r="D985" s="51"/>
      <c r="E985" s="51"/>
      <c r="F985" s="51"/>
      <c r="G985" s="51"/>
    </row>
    <row r="986">
      <c r="A986" s="51"/>
      <c r="B986" s="51"/>
      <c r="D986" s="51"/>
      <c r="G986" s="51"/>
      <c r="H986" s="51"/>
      <c r="I986" s="51"/>
    </row>
    <row r="987">
      <c r="A987" s="51"/>
      <c r="B987" s="51"/>
      <c r="F987" s="51"/>
      <c r="G987" s="51"/>
    </row>
    <row r="988">
      <c r="A988" s="51"/>
      <c r="B988" s="51"/>
      <c r="F988" s="51"/>
      <c r="G988" s="51"/>
    </row>
    <row r="989">
      <c r="A989" s="51"/>
      <c r="B989" s="51"/>
      <c r="D989" s="51"/>
    </row>
    <row r="990">
      <c r="A990" s="6" t="s">
        <v>70</v>
      </c>
      <c r="B990" s="52"/>
      <c r="C990" s="8"/>
      <c r="D990" s="9" t="s">
        <v>71</v>
      </c>
      <c r="E990" s="10"/>
      <c r="F990" s="10"/>
      <c r="G990" s="10"/>
      <c r="H990" s="10"/>
      <c r="I990" s="10"/>
      <c r="J990" s="10"/>
      <c r="K990" s="9"/>
      <c r="L990" s="10"/>
      <c r="M990" s="10"/>
      <c r="N990" s="10"/>
      <c r="O990" s="10"/>
      <c r="P990" s="11"/>
    </row>
    <row r="991">
      <c r="A991" s="12" t="s">
        <v>72</v>
      </c>
      <c r="B991" s="13">
        <v>1000000.0</v>
      </c>
      <c r="C991" s="14"/>
      <c r="D991" s="53" t="str">
        <f>B990</f>
        <v/>
      </c>
      <c r="E991" s="16" t="s">
        <v>73</v>
      </c>
      <c r="F991" s="17"/>
      <c r="G991" s="16" t="s">
        <v>74</v>
      </c>
      <c r="H991" s="16" t="s">
        <v>75</v>
      </c>
      <c r="I991" s="16" t="s">
        <v>76</v>
      </c>
      <c r="J991" s="18" t="s">
        <v>77</v>
      </c>
      <c r="P991" s="19"/>
    </row>
    <row r="992">
      <c r="A992" s="12" t="s">
        <v>78</v>
      </c>
      <c r="B992" s="13">
        <v>1000000.0</v>
      </c>
      <c r="C992" s="14"/>
      <c r="D992" s="20" t="s">
        <v>72</v>
      </c>
      <c r="E992" s="21">
        <f t="shared" ref="E992:E993" si="169">B991</f>
        <v>1000000</v>
      </c>
      <c r="F992" s="20" t="s">
        <v>79</v>
      </c>
      <c r="G992" s="21">
        <f t="shared" ref="G992:G993" si="170">B994</f>
        <v>4</v>
      </c>
      <c r="H992" s="4">
        <f>G992+(G993/60)</f>
        <v>4.166666667</v>
      </c>
      <c r="I992" s="21">
        <f>B999</f>
        <v>6</v>
      </c>
      <c r="J992" s="22" t="s">
        <v>80</v>
      </c>
      <c r="K992" s="23">
        <f>B1001/B1002</f>
        <v>0</v>
      </c>
      <c r="P992" s="19"/>
    </row>
    <row r="993">
      <c r="A993" s="12" t="s">
        <v>81</v>
      </c>
      <c r="B993" s="14"/>
      <c r="C993" s="14"/>
      <c r="D993" s="20" t="s">
        <v>78</v>
      </c>
      <c r="E993" s="21">
        <f t="shared" si="169"/>
        <v>1000000</v>
      </c>
      <c r="F993" s="20" t="s">
        <v>82</v>
      </c>
      <c r="G993" s="21">
        <f t="shared" si="170"/>
        <v>10</v>
      </c>
      <c r="J993" s="22" t="s">
        <v>83</v>
      </c>
      <c r="K993" s="23">
        <f>B1003/B1004</f>
        <v>0</v>
      </c>
      <c r="P993" s="19"/>
    </row>
    <row r="994">
      <c r="A994" s="24" t="s">
        <v>79</v>
      </c>
      <c r="B994" s="13">
        <v>4.0</v>
      </c>
      <c r="C994" s="14"/>
      <c r="D994" s="20" t="s">
        <v>84</v>
      </c>
      <c r="E994" s="25">
        <f>E992-E993</f>
        <v>0</v>
      </c>
      <c r="F994" s="26"/>
      <c r="G994" s="16" t="s">
        <v>85</v>
      </c>
      <c r="H994" s="16" t="s">
        <v>86</v>
      </c>
      <c r="I994" s="16" t="s">
        <v>87</v>
      </c>
      <c r="J994" s="22" t="s">
        <v>88</v>
      </c>
      <c r="K994" s="23">
        <f>B1005/B1006</f>
        <v>0</v>
      </c>
      <c r="P994" s="19"/>
    </row>
    <row r="995">
      <c r="A995" s="24" t="s">
        <v>89</v>
      </c>
      <c r="B995" s="13">
        <v>10.0</v>
      </c>
      <c r="C995" s="14"/>
      <c r="D995" s="16" t="s">
        <v>90</v>
      </c>
      <c r="F995" s="20" t="s">
        <v>79</v>
      </c>
      <c r="G995" s="21">
        <f t="shared" ref="G995:G996" si="171">B997</f>
        <v>4</v>
      </c>
      <c r="H995" s="25">
        <f>G995+(G996/60)</f>
        <v>4.166666667</v>
      </c>
      <c r="I995" s="25">
        <f>H992-H995</f>
        <v>0</v>
      </c>
      <c r="J995" s="22" t="s">
        <v>91</v>
      </c>
      <c r="K995" s="23">
        <f>B1007/B1008</f>
        <v>0</v>
      </c>
      <c r="P995" s="19"/>
    </row>
    <row r="996">
      <c r="A996" s="12" t="s">
        <v>85</v>
      </c>
      <c r="B996" s="27"/>
      <c r="C996" s="14"/>
      <c r="D996" s="28" t="s">
        <v>92</v>
      </c>
      <c r="E996" s="25">
        <f>E992/H1001</f>
        <v>218181.8182</v>
      </c>
      <c r="F996" s="20" t="s">
        <v>82</v>
      </c>
      <c r="G996" s="21">
        <f t="shared" si="171"/>
        <v>10</v>
      </c>
      <c r="J996" s="22" t="s">
        <v>93</v>
      </c>
      <c r="K996" s="23">
        <f>B1009/B1010</f>
        <v>0</v>
      </c>
      <c r="P996" s="19"/>
    </row>
    <row r="997">
      <c r="A997" s="24" t="s">
        <v>79</v>
      </c>
      <c r="B997" s="13">
        <v>4.0</v>
      </c>
      <c r="C997" s="14"/>
      <c r="D997" s="28" t="s">
        <v>94</v>
      </c>
      <c r="E997" s="25">
        <f>E992/I992</f>
        <v>166666.6667</v>
      </c>
      <c r="J997" s="22" t="s">
        <v>95</v>
      </c>
      <c r="K997" s="23">
        <f>B1011/B1012</f>
        <v>0</v>
      </c>
      <c r="P997" s="19"/>
    </row>
    <row r="998">
      <c r="A998" s="24" t="s">
        <v>89</v>
      </c>
      <c r="B998" s="13">
        <v>10.0</v>
      </c>
      <c r="C998" s="14"/>
      <c r="D998" s="28" t="s">
        <v>96</v>
      </c>
      <c r="E998" s="25">
        <f>E996/I992</f>
        <v>36363.63636</v>
      </c>
      <c r="J998" s="29" t="s">
        <v>97</v>
      </c>
      <c r="K998" s="30">
        <f>SUM(K992:K997)</f>
        <v>0</v>
      </c>
      <c r="P998" s="19"/>
    </row>
    <row r="999">
      <c r="A999" s="12" t="s">
        <v>98</v>
      </c>
      <c r="B999" s="13">
        <v>6.0</v>
      </c>
      <c r="C999" s="14"/>
      <c r="D999" s="28" t="s">
        <v>99</v>
      </c>
      <c r="E999" s="31">
        <f>E998/12</f>
        <v>3030.30303</v>
      </c>
      <c r="I999" s="29"/>
      <c r="J999" s="29" t="s">
        <v>100</v>
      </c>
      <c r="K999" s="30">
        <f>H1009</f>
        <v>0</v>
      </c>
      <c r="P999" s="19"/>
    </row>
    <row r="1000">
      <c r="A1000" s="32"/>
      <c r="B1000" s="14"/>
      <c r="C1000" s="14"/>
      <c r="D1000" s="28" t="s">
        <v>101</v>
      </c>
      <c r="E1000" s="25">
        <f>E999*5</f>
        <v>15151.51515</v>
      </c>
      <c r="J1000" s="29" t="s">
        <v>102</v>
      </c>
      <c r="K1000" s="30">
        <f>E1001</f>
        <v>18181.81818</v>
      </c>
      <c r="P1000" s="19"/>
    </row>
    <row r="1001">
      <c r="A1001" s="33" t="s">
        <v>103</v>
      </c>
      <c r="B1001" s="34">
        <v>0.0</v>
      </c>
      <c r="C1001" s="14"/>
      <c r="D1001" s="28" t="s">
        <v>104</v>
      </c>
      <c r="E1001" s="25">
        <f>E999*6</f>
        <v>18181.81818</v>
      </c>
      <c r="G1001" s="35" t="s">
        <v>105</v>
      </c>
      <c r="H1001" s="36">
        <f>H992+(25/60)</f>
        <v>4.583333333</v>
      </c>
      <c r="J1001" s="29" t="s">
        <v>106</v>
      </c>
      <c r="K1001" s="30">
        <f>E1009</f>
        <v>20000</v>
      </c>
      <c r="P1001" s="19"/>
    </row>
    <row r="1002">
      <c r="A1002" s="37" t="s">
        <v>107</v>
      </c>
      <c r="B1002" s="38">
        <v>1.0</v>
      </c>
      <c r="C1002" s="14"/>
      <c r="G1002" s="35" t="s">
        <v>108</v>
      </c>
      <c r="H1002" s="36">
        <f>I995+(25/60)</f>
        <v>0.4166666667</v>
      </c>
      <c r="I1002" s="39" t="s">
        <v>109</v>
      </c>
      <c r="P1002" s="19"/>
    </row>
    <row r="1003">
      <c r="A1003" s="40" t="s">
        <v>110</v>
      </c>
      <c r="B1003" s="13">
        <v>0.0</v>
      </c>
      <c r="C1003" s="14"/>
      <c r="D1003" s="16" t="s">
        <v>111</v>
      </c>
      <c r="G1003" s="16" t="s">
        <v>112</v>
      </c>
      <c r="H1003" s="36"/>
      <c r="I1003" s="39" t="s">
        <v>113</v>
      </c>
      <c r="P1003" s="19"/>
    </row>
    <row r="1004">
      <c r="A1004" s="37" t="s">
        <v>114</v>
      </c>
      <c r="B1004" s="38">
        <v>1.0</v>
      </c>
      <c r="C1004" s="14"/>
      <c r="D1004" s="28" t="s">
        <v>92</v>
      </c>
      <c r="E1004" s="25">
        <f>E993/H995</f>
        <v>240000</v>
      </c>
      <c r="G1004" s="28" t="s">
        <v>92</v>
      </c>
      <c r="H1004" s="36">
        <f>E994/H1002</f>
        <v>0</v>
      </c>
      <c r="I1004" s="39" t="s">
        <v>115</v>
      </c>
      <c r="P1004" s="19"/>
    </row>
    <row r="1005">
      <c r="A1005" s="40" t="s">
        <v>116</v>
      </c>
      <c r="B1005" s="13">
        <v>0.0</v>
      </c>
      <c r="C1005" s="14"/>
      <c r="D1005" s="28" t="s">
        <v>94</v>
      </c>
      <c r="E1005" s="25">
        <f>E993/I992</f>
        <v>166666.6667</v>
      </c>
      <c r="G1005" s="28" t="s">
        <v>94</v>
      </c>
      <c r="H1005" s="36">
        <f>E994/I992</f>
        <v>0</v>
      </c>
      <c r="I1005" s="39" t="s">
        <v>117</v>
      </c>
      <c r="P1005" s="19"/>
    </row>
    <row r="1006">
      <c r="A1006" s="37" t="s">
        <v>118</v>
      </c>
      <c r="B1006" s="38">
        <v>1.0</v>
      </c>
      <c r="C1006" s="14"/>
      <c r="D1006" s="28" t="s">
        <v>96</v>
      </c>
      <c r="E1006" s="25">
        <f>E1005/H995</f>
        <v>40000</v>
      </c>
      <c r="G1006" s="28" t="s">
        <v>96</v>
      </c>
      <c r="H1006" s="36">
        <f>H1005/H1002</f>
        <v>0</v>
      </c>
      <c r="P1006" s="19"/>
    </row>
    <row r="1007">
      <c r="A1007" s="40" t="s">
        <v>119</v>
      </c>
      <c r="B1007" s="13">
        <v>0.0</v>
      </c>
      <c r="C1007" s="14"/>
      <c r="D1007" s="28" t="s">
        <v>99</v>
      </c>
      <c r="E1007" s="25">
        <f>E1006/12</f>
        <v>3333.333333</v>
      </c>
      <c r="G1007" s="28" t="s">
        <v>99</v>
      </c>
      <c r="H1007" s="36">
        <f>H1006/12</f>
        <v>0</v>
      </c>
      <c r="P1007" s="19"/>
    </row>
    <row r="1008">
      <c r="A1008" s="37" t="s">
        <v>120</v>
      </c>
      <c r="B1008" s="38">
        <v>1.0</v>
      </c>
      <c r="C1008" s="14"/>
      <c r="D1008" s="28" t="s">
        <v>101</v>
      </c>
      <c r="E1008" s="25">
        <f>E1007*5</f>
        <v>16666.66667</v>
      </c>
      <c r="G1008" s="28" t="s">
        <v>101</v>
      </c>
      <c r="H1008" s="36">
        <f>H1007*5</f>
        <v>0</v>
      </c>
      <c r="P1008" s="19"/>
    </row>
    <row r="1009">
      <c r="A1009" s="40" t="s">
        <v>121</v>
      </c>
      <c r="B1009" s="13">
        <v>0.0</v>
      </c>
      <c r="C1009" s="14"/>
      <c r="D1009" s="28" t="s">
        <v>104</v>
      </c>
      <c r="E1009" s="25">
        <f>E1007*6</f>
        <v>20000</v>
      </c>
      <c r="G1009" s="28" t="s">
        <v>104</v>
      </c>
      <c r="H1009" s="36">
        <f>H1007*6</f>
        <v>0</v>
      </c>
      <c r="P1009" s="19"/>
    </row>
    <row r="1010">
      <c r="A1010" s="37" t="s">
        <v>122</v>
      </c>
      <c r="B1010" s="38">
        <v>1.0</v>
      </c>
      <c r="C1010" s="14"/>
      <c r="P1010" s="19"/>
    </row>
    <row r="1011">
      <c r="A1011" s="40" t="s">
        <v>123</v>
      </c>
      <c r="B1011" s="13">
        <v>0.0</v>
      </c>
      <c r="C1011" s="14"/>
      <c r="D1011" s="28" t="s">
        <v>124</v>
      </c>
      <c r="E1011" s="41"/>
      <c r="F1011" s="41"/>
      <c r="P1011" s="19"/>
    </row>
    <row r="1012">
      <c r="A1012" s="37" t="s">
        <v>125</v>
      </c>
      <c r="B1012" s="38">
        <v>1.0</v>
      </c>
      <c r="C1012" s="14"/>
      <c r="D1012" s="4" t="s">
        <v>126</v>
      </c>
      <c r="E1012" s="25">
        <f t="shared" ref="E1012:E1015" si="172">H1006-E1006</f>
        <v>-40000</v>
      </c>
      <c r="P1012" s="19"/>
    </row>
    <row r="1013">
      <c r="A1013" s="42" t="s">
        <v>127</v>
      </c>
      <c r="C1013" s="14"/>
      <c r="D1013" s="4" t="s">
        <v>128</v>
      </c>
      <c r="E1013" s="25">
        <f t="shared" si="172"/>
        <v>-3333.333333</v>
      </c>
      <c r="P1013" s="19"/>
    </row>
    <row r="1014">
      <c r="A1014" s="32"/>
      <c r="C1014" s="14"/>
      <c r="D1014" s="4" t="s">
        <v>129</v>
      </c>
      <c r="E1014" s="25">
        <f t="shared" si="172"/>
        <v>-16666.66667</v>
      </c>
      <c r="G1014" s="43"/>
      <c r="P1014" s="19"/>
    </row>
    <row r="1015">
      <c r="A1015" s="32"/>
      <c r="C1015" s="14"/>
      <c r="D1015" s="4" t="s">
        <v>130</v>
      </c>
      <c r="E1015" s="25">
        <f t="shared" si="172"/>
        <v>-20000</v>
      </c>
      <c r="P1015" s="19"/>
    </row>
    <row r="1016">
      <c r="A1016" s="24"/>
      <c r="C1016" s="14"/>
      <c r="D1016" s="28" t="s">
        <v>131</v>
      </c>
      <c r="P1016" s="19"/>
    </row>
    <row r="1017">
      <c r="A1017" s="32"/>
      <c r="C1017" s="14"/>
      <c r="D1017" s="4" t="s">
        <v>132</v>
      </c>
      <c r="E1017" s="25">
        <f t="shared" ref="E1017:E1020" si="173">H1006-E998</f>
        <v>-36363.63636</v>
      </c>
      <c r="P1017" s="19"/>
    </row>
    <row r="1018">
      <c r="A1018" s="32"/>
      <c r="C1018" s="14"/>
      <c r="D1018" s="4" t="s">
        <v>133</v>
      </c>
      <c r="E1018" s="25">
        <f t="shared" si="173"/>
        <v>-3030.30303</v>
      </c>
      <c r="G1018" s="28" t="s">
        <v>134</v>
      </c>
      <c r="I1018" s="35" t="s">
        <v>135</v>
      </c>
      <c r="J1018" s="35" t="s">
        <v>82</v>
      </c>
      <c r="P1018" s="19"/>
    </row>
    <row r="1019">
      <c r="A1019" s="32"/>
      <c r="C1019" s="14"/>
      <c r="D1019" s="4" t="s">
        <v>136</v>
      </c>
      <c r="E1019" s="25">
        <f t="shared" si="173"/>
        <v>-15151.51515</v>
      </c>
      <c r="G1019" s="35" t="s">
        <v>137</v>
      </c>
      <c r="H1019" s="25" t="str">
        <f>(E992/H1004)-(25/60)</f>
        <v>#DIV/0!</v>
      </c>
      <c r="I1019" s="25" t="str">
        <f t="shared" ref="I1019:I1020" si="174">INT(H1019)</f>
        <v>#DIV/0!</v>
      </c>
      <c r="J1019" s="36" t="str">
        <f t="shared" ref="J1019:J1020" si="175">INT((H1019-I1019)*60)</f>
        <v>#DIV/0!</v>
      </c>
      <c r="P1019" s="19"/>
    </row>
    <row r="1020">
      <c r="A1020" s="44"/>
      <c r="B1020" s="45"/>
      <c r="C1020" s="46"/>
      <c r="D1020" s="47" t="s">
        <v>138</v>
      </c>
      <c r="E1020" s="45">
        <f t="shared" si="173"/>
        <v>-18181.81818</v>
      </c>
      <c r="F1020" s="45"/>
      <c r="G1020" s="48" t="s">
        <v>139</v>
      </c>
      <c r="H1020" s="45" t="str">
        <f>H992-H1019</f>
        <v>#DIV/0!</v>
      </c>
      <c r="I1020" s="45" t="str">
        <f t="shared" si="174"/>
        <v>#DIV/0!</v>
      </c>
      <c r="J1020" s="49" t="str">
        <f t="shared" si="175"/>
        <v>#DIV/0!</v>
      </c>
      <c r="K1020" s="45"/>
      <c r="L1020" s="45"/>
      <c r="M1020" s="45"/>
      <c r="N1020" s="45"/>
      <c r="O1020" s="45"/>
      <c r="P1020" s="50"/>
    </row>
    <row r="1021">
      <c r="A1021" s="51"/>
      <c r="B1021" s="51"/>
      <c r="D1021" s="51"/>
    </row>
    <row r="1022">
      <c r="D1022" s="51"/>
      <c r="I1022" s="51"/>
    </row>
    <row r="1023">
      <c r="D1023" s="51"/>
      <c r="I1023" s="51"/>
    </row>
    <row r="1024">
      <c r="A1024" s="51"/>
      <c r="D1024" s="51"/>
      <c r="G1024" s="51"/>
    </row>
    <row r="1025">
      <c r="A1025" s="51"/>
      <c r="G1025" s="51"/>
    </row>
    <row r="1026">
      <c r="A1026" s="51"/>
      <c r="D1026" s="51"/>
      <c r="G1026" s="51"/>
    </row>
    <row r="1027">
      <c r="A1027" s="51"/>
      <c r="D1027" s="51"/>
      <c r="G1027" s="51"/>
    </row>
    <row r="1028">
      <c r="A1028" s="51"/>
      <c r="D1028" s="51"/>
      <c r="G1028" s="51"/>
    </row>
    <row r="1029">
      <c r="A1029" s="51"/>
      <c r="D1029" s="51"/>
      <c r="G1029" s="51"/>
    </row>
    <row r="1030">
      <c r="A1030" s="6" t="s">
        <v>70</v>
      </c>
      <c r="B1030" s="52"/>
      <c r="C1030" s="8"/>
      <c r="D1030" s="9" t="s">
        <v>71</v>
      </c>
      <c r="E1030" s="10"/>
      <c r="F1030" s="10"/>
      <c r="G1030" s="10"/>
      <c r="H1030" s="10"/>
      <c r="I1030" s="10"/>
      <c r="J1030" s="10"/>
      <c r="K1030" s="9"/>
      <c r="L1030" s="10"/>
      <c r="M1030" s="10"/>
      <c r="N1030" s="10"/>
      <c r="O1030" s="10"/>
      <c r="P1030" s="11"/>
    </row>
    <row r="1031">
      <c r="A1031" s="12" t="s">
        <v>72</v>
      </c>
      <c r="B1031" s="13">
        <v>1000000.0</v>
      </c>
      <c r="C1031" s="14"/>
      <c r="D1031" s="53" t="str">
        <f>B1030</f>
        <v/>
      </c>
      <c r="E1031" s="16" t="s">
        <v>73</v>
      </c>
      <c r="F1031" s="17"/>
      <c r="G1031" s="16" t="s">
        <v>74</v>
      </c>
      <c r="H1031" s="16" t="s">
        <v>75</v>
      </c>
      <c r="I1031" s="16" t="s">
        <v>76</v>
      </c>
      <c r="J1031" s="18" t="s">
        <v>77</v>
      </c>
      <c r="P1031" s="19"/>
    </row>
    <row r="1032">
      <c r="A1032" s="12" t="s">
        <v>78</v>
      </c>
      <c r="B1032" s="13">
        <v>1000000.0</v>
      </c>
      <c r="C1032" s="14"/>
      <c r="D1032" s="20" t="s">
        <v>72</v>
      </c>
      <c r="E1032" s="21">
        <f t="shared" ref="E1032:E1033" si="176">B1031</f>
        <v>1000000</v>
      </c>
      <c r="F1032" s="20" t="s">
        <v>79</v>
      </c>
      <c r="G1032" s="21">
        <f t="shared" ref="G1032:G1033" si="177">B1034</f>
        <v>4</v>
      </c>
      <c r="H1032" s="4">
        <f>G1032+(G1033/60)</f>
        <v>4.166666667</v>
      </c>
      <c r="I1032" s="21">
        <f>B1039</f>
        <v>6</v>
      </c>
      <c r="J1032" s="22" t="s">
        <v>80</v>
      </c>
      <c r="K1032" s="23">
        <f>B1041/B1042</f>
        <v>0</v>
      </c>
      <c r="P1032" s="19"/>
    </row>
    <row r="1033">
      <c r="A1033" s="12" t="s">
        <v>81</v>
      </c>
      <c r="B1033" s="14"/>
      <c r="C1033" s="14"/>
      <c r="D1033" s="20" t="s">
        <v>78</v>
      </c>
      <c r="E1033" s="21">
        <f t="shared" si="176"/>
        <v>1000000</v>
      </c>
      <c r="F1033" s="20" t="s">
        <v>82</v>
      </c>
      <c r="G1033" s="21">
        <f t="shared" si="177"/>
        <v>10</v>
      </c>
      <c r="J1033" s="22" t="s">
        <v>83</v>
      </c>
      <c r="K1033" s="23">
        <f>B1043/B1044</f>
        <v>0</v>
      </c>
      <c r="P1033" s="19"/>
    </row>
    <row r="1034">
      <c r="A1034" s="24" t="s">
        <v>79</v>
      </c>
      <c r="B1034" s="13">
        <v>4.0</v>
      </c>
      <c r="C1034" s="14"/>
      <c r="D1034" s="20" t="s">
        <v>84</v>
      </c>
      <c r="E1034" s="25">
        <f>E1032-E1033</f>
        <v>0</v>
      </c>
      <c r="F1034" s="26"/>
      <c r="G1034" s="16" t="s">
        <v>85</v>
      </c>
      <c r="H1034" s="16" t="s">
        <v>86</v>
      </c>
      <c r="I1034" s="16" t="s">
        <v>87</v>
      </c>
      <c r="J1034" s="22" t="s">
        <v>88</v>
      </c>
      <c r="K1034" s="23">
        <f>B1045/B1046</f>
        <v>0</v>
      </c>
      <c r="P1034" s="19"/>
    </row>
    <row r="1035">
      <c r="A1035" s="24" t="s">
        <v>89</v>
      </c>
      <c r="B1035" s="13">
        <v>10.0</v>
      </c>
      <c r="C1035" s="14"/>
      <c r="D1035" s="16" t="s">
        <v>90</v>
      </c>
      <c r="F1035" s="20" t="s">
        <v>79</v>
      </c>
      <c r="G1035" s="21">
        <f t="shared" ref="G1035:G1036" si="178">B1037</f>
        <v>4</v>
      </c>
      <c r="H1035" s="25">
        <f>G1035+(G1036/60)</f>
        <v>4.166666667</v>
      </c>
      <c r="I1035" s="25">
        <f>H1032-H1035</f>
        <v>0</v>
      </c>
      <c r="J1035" s="22" t="s">
        <v>91</v>
      </c>
      <c r="K1035" s="23">
        <f>B1047/B1048</f>
        <v>0</v>
      </c>
      <c r="P1035" s="19"/>
    </row>
    <row r="1036">
      <c r="A1036" s="12" t="s">
        <v>85</v>
      </c>
      <c r="B1036" s="27"/>
      <c r="C1036" s="14"/>
      <c r="D1036" s="28" t="s">
        <v>92</v>
      </c>
      <c r="E1036" s="25">
        <f>E1032/H1041</f>
        <v>218181.8182</v>
      </c>
      <c r="F1036" s="20" t="s">
        <v>82</v>
      </c>
      <c r="G1036" s="21">
        <f t="shared" si="178"/>
        <v>10</v>
      </c>
      <c r="J1036" s="22" t="s">
        <v>93</v>
      </c>
      <c r="K1036" s="23">
        <f>B1049/B1050</f>
        <v>0</v>
      </c>
      <c r="P1036" s="19"/>
    </row>
    <row r="1037">
      <c r="A1037" s="24" t="s">
        <v>79</v>
      </c>
      <c r="B1037" s="13">
        <v>4.0</v>
      </c>
      <c r="C1037" s="14"/>
      <c r="D1037" s="28" t="s">
        <v>94</v>
      </c>
      <c r="E1037" s="25">
        <f>E1032/I1032</f>
        <v>166666.6667</v>
      </c>
      <c r="J1037" s="22" t="s">
        <v>95</v>
      </c>
      <c r="K1037" s="23">
        <f>B1051/B1052</f>
        <v>0</v>
      </c>
      <c r="P1037" s="19"/>
    </row>
    <row r="1038">
      <c r="A1038" s="24" t="s">
        <v>89</v>
      </c>
      <c r="B1038" s="13">
        <v>10.0</v>
      </c>
      <c r="C1038" s="14"/>
      <c r="D1038" s="28" t="s">
        <v>96</v>
      </c>
      <c r="E1038" s="25">
        <f>E1036/I1032</f>
        <v>36363.63636</v>
      </c>
      <c r="J1038" s="29" t="s">
        <v>97</v>
      </c>
      <c r="K1038" s="30">
        <f>SUM(K1032:K1037)</f>
        <v>0</v>
      </c>
      <c r="P1038" s="19"/>
    </row>
    <row r="1039">
      <c r="A1039" s="12" t="s">
        <v>98</v>
      </c>
      <c r="B1039" s="13">
        <v>6.0</v>
      </c>
      <c r="C1039" s="14"/>
      <c r="D1039" s="28" t="s">
        <v>99</v>
      </c>
      <c r="E1039" s="31">
        <f>E1038/12</f>
        <v>3030.30303</v>
      </c>
      <c r="I1039" s="29"/>
      <c r="J1039" s="29" t="s">
        <v>100</v>
      </c>
      <c r="K1039" s="30">
        <f>H1049</f>
        <v>0</v>
      </c>
      <c r="P1039" s="19"/>
    </row>
    <row r="1040">
      <c r="A1040" s="32"/>
      <c r="B1040" s="14"/>
      <c r="C1040" s="14"/>
      <c r="D1040" s="28" t="s">
        <v>101</v>
      </c>
      <c r="E1040" s="25">
        <f>E1039*5</f>
        <v>15151.51515</v>
      </c>
      <c r="J1040" s="29" t="s">
        <v>102</v>
      </c>
      <c r="K1040" s="30">
        <f>E1041</f>
        <v>18181.81818</v>
      </c>
      <c r="P1040" s="19"/>
    </row>
    <row r="1041">
      <c r="A1041" s="33" t="s">
        <v>103</v>
      </c>
      <c r="B1041" s="34">
        <v>0.0</v>
      </c>
      <c r="C1041" s="14"/>
      <c r="D1041" s="28" t="s">
        <v>104</v>
      </c>
      <c r="E1041" s="25">
        <f>E1039*6</f>
        <v>18181.81818</v>
      </c>
      <c r="G1041" s="35" t="s">
        <v>105</v>
      </c>
      <c r="H1041" s="36">
        <f>H1032+(25/60)</f>
        <v>4.583333333</v>
      </c>
      <c r="J1041" s="29" t="s">
        <v>106</v>
      </c>
      <c r="K1041" s="30">
        <f>E1049</f>
        <v>20000</v>
      </c>
      <c r="P1041" s="19"/>
    </row>
    <row r="1042">
      <c r="A1042" s="37" t="s">
        <v>107</v>
      </c>
      <c r="B1042" s="38">
        <v>1.0</v>
      </c>
      <c r="C1042" s="14"/>
      <c r="G1042" s="35" t="s">
        <v>108</v>
      </c>
      <c r="H1042" s="36">
        <f>I1035+(25/60)</f>
        <v>0.4166666667</v>
      </c>
      <c r="I1042" s="39" t="s">
        <v>109</v>
      </c>
      <c r="P1042" s="19"/>
    </row>
    <row r="1043">
      <c r="A1043" s="40" t="s">
        <v>110</v>
      </c>
      <c r="B1043" s="13">
        <v>0.0</v>
      </c>
      <c r="C1043" s="14"/>
      <c r="D1043" s="16" t="s">
        <v>111</v>
      </c>
      <c r="G1043" s="16" t="s">
        <v>112</v>
      </c>
      <c r="H1043" s="36"/>
      <c r="I1043" s="39" t="s">
        <v>113</v>
      </c>
      <c r="P1043" s="19"/>
    </row>
    <row r="1044">
      <c r="A1044" s="37" t="s">
        <v>114</v>
      </c>
      <c r="B1044" s="38">
        <v>1.0</v>
      </c>
      <c r="C1044" s="14"/>
      <c r="D1044" s="28" t="s">
        <v>92</v>
      </c>
      <c r="E1044" s="25">
        <f>E1033/H1035</f>
        <v>240000</v>
      </c>
      <c r="G1044" s="28" t="s">
        <v>92</v>
      </c>
      <c r="H1044" s="36">
        <f>E1034/H1042</f>
        <v>0</v>
      </c>
      <c r="I1044" s="39" t="s">
        <v>115</v>
      </c>
      <c r="P1044" s="19"/>
    </row>
    <row r="1045">
      <c r="A1045" s="40" t="s">
        <v>116</v>
      </c>
      <c r="B1045" s="13">
        <v>0.0</v>
      </c>
      <c r="C1045" s="14"/>
      <c r="D1045" s="28" t="s">
        <v>94</v>
      </c>
      <c r="E1045" s="25">
        <f>E1033/I1032</f>
        <v>166666.6667</v>
      </c>
      <c r="G1045" s="28" t="s">
        <v>94</v>
      </c>
      <c r="H1045" s="36">
        <f>E1034/I1032</f>
        <v>0</v>
      </c>
      <c r="I1045" s="39" t="s">
        <v>117</v>
      </c>
      <c r="P1045" s="19"/>
    </row>
    <row r="1046">
      <c r="A1046" s="37" t="s">
        <v>118</v>
      </c>
      <c r="B1046" s="38">
        <v>1.0</v>
      </c>
      <c r="C1046" s="14"/>
      <c r="D1046" s="28" t="s">
        <v>96</v>
      </c>
      <c r="E1046" s="25">
        <f>E1045/H1035</f>
        <v>40000</v>
      </c>
      <c r="G1046" s="28" t="s">
        <v>96</v>
      </c>
      <c r="H1046" s="36">
        <f>H1045/H1042</f>
        <v>0</v>
      </c>
      <c r="P1046" s="19"/>
    </row>
    <row r="1047">
      <c r="A1047" s="40" t="s">
        <v>119</v>
      </c>
      <c r="B1047" s="13">
        <v>0.0</v>
      </c>
      <c r="C1047" s="14"/>
      <c r="D1047" s="28" t="s">
        <v>99</v>
      </c>
      <c r="E1047" s="25">
        <f>E1046/12</f>
        <v>3333.333333</v>
      </c>
      <c r="G1047" s="28" t="s">
        <v>99</v>
      </c>
      <c r="H1047" s="36">
        <f>H1046/12</f>
        <v>0</v>
      </c>
      <c r="P1047" s="19"/>
    </row>
    <row r="1048">
      <c r="A1048" s="37" t="s">
        <v>120</v>
      </c>
      <c r="B1048" s="38">
        <v>1.0</v>
      </c>
      <c r="C1048" s="14"/>
      <c r="D1048" s="28" t="s">
        <v>101</v>
      </c>
      <c r="E1048" s="25">
        <f>E1047*5</f>
        <v>16666.66667</v>
      </c>
      <c r="G1048" s="28" t="s">
        <v>101</v>
      </c>
      <c r="H1048" s="36">
        <f>H1047*5</f>
        <v>0</v>
      </c>
      <c r="P1048" s="19"/>
    </row>
    <row r="1049">
      <c r="A1049" s="40" t="s">
        <v>121</v>
      </c>
      <c r="B1049" s="13">
        <v>0.0</v>
      </c>
      <c r="C1049" s="14"/>
      <c r="D1049" s="28" t="s">
        <v>104</v>
      </c>
      <c r="E1049" s="25">
        <f>E1047*6</f>
        <v>20000</v>
      </c>
      <c r="G1049" s="28" t="s">
        <v>104</v>
      </c>
      <c r="H1049" s="36">
        <f>H1047*6</f>
        <v>0</v>
      </c>
      <c r="P1049" s="19"/>
    </row>
    <row r="1050">
      <c r="A1050" s="37" t="s">
        <v>122</v>
      </c>
      <c r="B1050" s="38">
        <v>1.0</v>
      </c>
      <c r="C1050" s="14"/>
      <c r="P1050" s="19"/>
    </row>
    <row r="1051">
      <c r="A1051" s="40" t="s">
        <v>123</v>
      </c>
      <c r="B1051" s="13">
        <v>0.0</v>
      </c>
      <c r="C1051" s="14"/>
      <c r="D1051" s="28" t="s">
        <v>124</v>
      </c>
      <c r="E1051" s="41"/>
      <c r="F1051" s="41"/>
      <c r="P1051" s="19"/>
    </row>
    <row r="1052">
      <c r="A1052" s="37" t="s">
        <v>125</v>
      </c>
      <c r="B1052" s="38">
        <v>1.0</v>
      </c>
      <c r="C1052" s="14"/>
      <c r="D1052" s="4" t="s">
        <v>126</v>
      </c>
      <c r="E1052" s="25">
        <f t="shared" ref="E1052:E1055" si="179">H1046-E1046</f>
        <v>-40000</v>
      </c>
      <c r="P1052" s="19"/>
    </row>
    <row r="1053">
      <c r="A1053" s="42" t="s">
        <v>127</v>
      </c>
      <c r="C1053" s="14"/>
      <c r="D1053" s="4" t="s">
        <v>128</v>
      </c>
      <c r="E1053" s="25">
        <f t="shared" si="179"/>
        <v>-3333.333333</v>
      </c>
      <c r="P1053" s="19"/>
    </row>
    <row r="1054">
      <c r="A1054" s="32"/>
      <c r="C1054" s="14"/>
      <c r="D1054" s="4" t="s">
        <v>129</v>
      </c>
      <c r="E1054" s="25">
        <f t="shared" si="179"/>
        <v>-16666.66667</v>
      </c>
      <c r="G1054" s="43"/>
      <c r="P1054" s="19"/>
    </row>
    <row r="1055">
      <c r="A1055" s="32"/>
      <c r="C1055" s="14"/>
      <c r="D1055" s="4" t="s">
        <v>130</v>
      </c>
      <c r="E1055" s="25">
        <f t="shared" si="179"/>
        <v>-20000</v>
      </c>
      <c r="P1055" s="19"/>
    </row>
    <row r="1056">
      <c r="A1056" s="24"/>
      <c r="C1056" s="14"/>
      <c r="D1056" s="28" t="s">
        <v>131</v>
      </c>
      <c r="P1056" s="19"/>
    </row>
    <row r="1057">
      <c r="A1057" s="32"/>
      <c r="C1057" s="14"/>
      <c r="D1057" s="4" t="s">
        <v>132</v>
      </c>
      <c r="E1057" s="25">
        <f t="shared" ref="E1057:E1060" si="180">H1046-E1038</f>
        <v>-36363.63636</v>
      </c>
      <c r="P1057" s="19"/>
    </row>
    <row r="1058">
      <c r="A1058" s="32"/>
      <c r="C1058" s="14"/>
      <c r="D1058" s="4" t="s">
        <v>133</v>
      </c>
      <c r="E1058" s="25">
        <f t="shared" si="180"/>
        <v>-3030.30303</v>
      </c>
      <c r="G1058" s="28" t="s">
        <v>134</v>
      </c>
      <c r="I1058" s="35" t="s">
        <v>135</v>
      </c>
      <c r="J1058" s="35" t="s">
        <v>82</v>
      </c>
      <c r="P1058" s="19"/>
    </row>
    <row r="1059">
      <c r="A1059" s="32"/>
      <c r="C1059" s="14"/>
      <c r="D1059" s="4" t="s">
        <v>136</v>
      </c>
      <c r="E1059" s="25">
        <f t="shared" si="180"/>
        <v>-15151.51515</v>
      </c>
      <c r="G1059" s="35" t="s">
        <v>137</v>
      </c>
      <c r="H1059" s="25" t="str">
        <f>(E1032/H1044)-(25/60)</f>
        <v>#DIV/0!</v>
      </c>
      <c r="I1059" s="25" t="str">
        <f t="shared" ref="I1059:I1060" si="181">INT(H1059)</f>
        <v>#DIV/0!</v>
      </c>
      <c r="J1059" s="36" t="str">
        <f t="shared" ref="J1059:J1060" si="182">INT((H1059-I1059)*60)</f>
        <v>#DIV/0!</v>
      </c>
      <c r="P1059" s="19"/>
    </row>
    <row r="1060">
      <c r="A1060" s="44"/>
      <c r="B1060" s="45"/>
      <c r="C1060" s="46"/>
      <c r="D1060" s="47" t="s">
        <v>138</v>
      </c>
      <c r="E1060" s="45">
        <f t="shared" si="180"/>
        <v>-18181.81818</v>
      </c>
      <c r="F1060" s="45"/>
      <c r="G1060" s="48" t="s">
        <v>139</v>
      </c>
      <c r="H1060" s="45" t="str">
        <f>H1032-H1059</f>
        <v>#DIV/0!</v>
      </c>
      <c r="I1060" s="45" t="str">
        <f t="shared" si="181"/>
        <v>#DIV/0!</v>
      </c>
      <c r="J1060" s="49" t="str">
        <f t="shared" si="182"/>
        <v>#DIV/0!</v>
      </c>
      <c r="K1060" s="45"/>
      <c r="L1060" s="45"/>
      <c r="M1060" s="45"/>
      <c r="N1060" s="45"/>
      <c r="O1060" s="45"/>
      <c r="P1060" s="50"/>
    </row>
    <row r="1061">
      <c r="A1061" s="51"/>
      <c r="D1061" s="51"/>
      <c r="G1061" s="51"/>
    </row>
    <row r="1062">
      <c r="A1062" s="51"/>
    </row>
    <row r="1063">
      <c r="A1063" s="51"/>
      <c r="D1063" s="51"/>
    </row>
    <row r="1064">
      <c r="A1064" s="51"/>
    </row>
    <row r="1065">
      <c r="A1065" s="51"/>
      <c r="G1065" s="51"/>
    </row>
    <row r="1067">
      <c r="D1067" s="51"/>
    </row>
    <row r="1070">
      <c r="A1070" s="6" t="s">
        <v>70</v>
      </c>
      <c r="B1070" s="52"/>
      <c r="C1070" s="8"/>
      <c r="D1070" s="9" t="s">
        <v>71</v>
      </c>
      <c r="E1070" s="10"/>
      <c r="F1070" s="10"/>
      <c r="G1070" s="10"/>
      <c r="H1070" s="10"/>
      <c r="I1070" s="10"/>
      <c r="J1070" s="10"/>
      <c r="K1070" s="9"/>
      <c r="L1070" s="10"/>
      <c r="M1070" s="10"/>
      <c r="N1070" s="10"/>
      <c r="O1070" s="10"/>
      <c r="P1070" s="11"/>
    </row>
    <row r="1071">
      <c r="A1071" s="12" t="s">
        <v>72</v>
      </c>
      <c r="B1071" s="13">
        <v>1000000.0</v>
      </c>
      <c r="C1071" s="14"/>
      <c r="D1071" s="53" t="str">
        <f>B1070</f>
        <v/>
      </c>
      <c r="E1071" s="16" t="s">
        <v>73</v>
      </c>
      <c r="F1071" s="17"/>
      <c r="G1071" s="16" t="s">
        <v>74</v>
      </c>
      <c r="H1071" s="16" t="s">
        <v>75</v>
      </c>
      <c r="I1071" s="16" t="s">
        <v>76</v>
      </c>
      <c r="J1071" s="18" t="s">
        <v>77</v>
      </c>
      <c r="P1071" s="19"/>
    </row>
    <row r="1072">
      <c r="A1072" s="12" t="s">
        <v>78</v>
      </c>
      <c r="B1072" s="13">
        <v>1000000.0</v>
      </c>
      <c r="C1072" s="14"/>
      <c r="D1072" s="20" t="s">
        <v>72</v>
      </c>
      <c r="E1072" s="21">
        <f t="shared" ref="E1072:E1073" si="183">B1071</f>
        <v>1000000</v>
      </c>
      <c r="F1072" s="20" t="s">
        <v>79</v>
      </c>
      <c r="G1072" s="21">
        <f t="shared" ref="G1072:G1073" si="184">B1074</f>
        <v>4</v>
      </c>
      <c r="H1072" s="4">
        <f>G1072+(G1073/60)</f>
        <v>4.166666667</v>
      </c>
      <c r="I1072" s="21">
        <f>B1079</f>
        <v>6</v>
      </c>
      <c r="J1072" s="22" t="s">
        <v>80</v>
      </c>
      <c r="K1072" s="23">
        <f>B1081/B1082</f>
        <v>0</v>
      </c>
      <c r="P1072" s="19"/>
    </row>
    <row r="1073">
      <c r="A1073" s="12" t="s">
        <v>81</v>
      </c>
      <c r="B1073" s="14"/>
      <c r="C1073" s="14"/>
      <c r="D1073" s="20" t="s">
        <v>78</v>
      </c>
      <c r="E1073" s="21">
        <f t="shared" si="183"/>
        <v>1000000</v>
      </c>
      <c r="F1073" s="20" t="s">
        <v>82</v>
      </c>
      <c r="G1073" s="21">
        <f t="shared" si="184"/>
        <v>10</v>
      </c>
      <c r="J1073" s="22" t="s">
        <v>83</v>
      </c>
      <c r="K1073" s="23">
        <f>B1083/B1084</f>
        <v>0</v>
      </c>
      <c r="P1073" s="19"/>
    </row>
    <row r="1074">
      <c r="A1074" s="24" t="s">
        <v>79</v>
      </c>
      <c r="B1074" s="13">
        <v>4.0</v>
      </c>
      <c r="C1074" s="14"/>
      <c r="D1074" s="20" t="s">
        <v>84</v>
      </c>
      <c r="E1074" s="25">
        <f>E1072-E1073</f>
        <v>0</v>
      </c>
      <c r="F1074" s="26"/>
      <c r="G1074" s="16" t="s">
        <v>85</v>
      </c>
      <c r="H1074" s="16" t="s">
        <v>86</v>
      </c>
      <c r="I1074" s="16" t="s">
        <v>87</v>
      </c>
      <c r="J1074" s="22" t="s">
        <v>88</v>
      </c>
      <c r="K1074" s="23">
        <f>B1085/B1086</f>
        <v>0</v>
      </c>
      <c r="P1074" s="19"/>
    </row>
    <row r="1075">
      <c r="A1075" s="24" t="s">
        <v>89</v>
      </c>
      <c r="B1075" s="13">
        <v>10.0</v>
      </c>
      <c r="C1075" s="14"/>
      <c r="D1075" s="16" t="s">
        <v>90</v>
      </c>
      <c r="F1075" s="20" t="s">
        <v>79</v>
      </c>
      <c r="G1075" s="21">
        <f t="shared" ref="G1075:G1076" si="185">B1077</f>
        <v>4</v>
      </c>
      <c r="H1075" s="25">
        <f>G1075+(G1076/60)</f>
        <v>4.166666667</v>
      </c>
      <c r="I1075" s="25">
        <f>H1072-H1075</f>
        <v>0</v>
      </c>
      <c r="J1075" s="22" t="s">
        <v>91</v>
      </c>
      <c r="K1075" s="23">
        <f>B1087/B1088</f>
        <v>0</v>
      </c>
      <c r="P1075" s="19"/>
    </row>
    <row r="1076">
      <c r="A1076" s="12" t="s">
        <v>85</v>
      </c>
      <c r="B1076" s="27"/>
      <c r="C1076" s="14"/>
      <c r="D1076" s="28" t="s">
        <v>92</v>
      </c>
      <c r="E1076" s="25">
        <f>E1072/H1081</f>
        <v>218181.8182</v>
      </c>
      <c r="F1076" s="20" t="s">
        <v>82</v>
      </c>
      <c r="G1076" s="21">
        <f t="shared" si="185"/>
        <v>10</v>
      </c>
      <c r="J1076" s="22" t="s">
        <v>93</v>
      </c>
      <c r="K1076" s="23">
        <f>B1089/B1090</f>
        <v>0</v>
      </c>
      <c r="P1076" s="19"/>
    </row>
    <row r="1077">
      <c r="A1077" s="24" t="s">
        <v>79</v>
      </c>
      <c r="B1077" s="13">
        <v>4.0</v>
      </c>
      <c r="C1077" s="14"/>
      <c r="D1077" s="28" t="s">
        <v>94</v>
      </c>
      <c r="E1077" s="25">
        <f>E1072/I1072</f>
        <v>166666.6667</v>
      </c>
      <c r="J1077" s="22" t="s">
        <v>95</v>
      </c>
      <c r="K1077" s="23">
        <f>B1091/B1092</f>
        <v>0</v>
      </c>
      <c r="P1077" s="19"/>
    </row>
    <row r="1078">
      <c r="A1078" s="24" t="s">
        <v>89</v>
      </c>
      <c r="B1078" s="13">
        <v>10.0</v>
      </c>
      <c r="C1078" s="14"/>
      <c r="D1078" s="28" t="s">
        <v>96</v>
      </c>
      <c r="E1078" s="25">
        <f>E1076/I1072</f>
        <v>36363.63636</v>
      </c>
      <c r="J1078" s="29" t="s">
        <v>97</v>
      </c>
      <c r="K1078" s="30">
        <f>SUM(K1072:K1077)</f>
        <v>0</v>
      </c>
      <c r="P1078" s="19"/>
    </row>
    <row r="1079">
      <c r="A1079" s="12" t="s">
        <v>98</v>
      </c>
      <c r="B1079" s="13">
        <v>6.0</v>
      </c>
      <c r="C1079" s="14"/>
      <c r="D1079" s="28" t="s">
        <v>99</v>
      </c>
      <c r="E1079" s="31">
        <f>E1078/12</f>
        <v>3030.30303</v>
      </c>
      <c r="I1079" s="29"/>
      <c r="J1079" s="29" t="s">
        <v>100</v>
      </c>
      <c r="K1079" s="30">
        <f>H1089</f>
        <v>0</v>
      </c>
      <c r="P1079" s="19"/>
    </row>
    <row r="1080">
      <c r="A1080" s="32"/>
      <c r="B1080" s="14"/>
      <c r="C1080" s="14"/>
      <c r="D1080" s="28" t="s">
        <v>101</v>
      </c>
      <c r="E1080" s="25">
        <f>E1079*5</f>
        <v>15151.51515</v>
      </c>
      <c r="J1080" s="29" t="s">
        <v>102</v>
      </c>
      <c r="K1080" s="30">
        <f>E1081</f>
        <v>18181.81818</v>
      </c>
      <c r="P1080" s="19"/>
    </row>
    <row r="1081">
      <c r="A1081" s="33" t="s">
        <v>103</v>
      </c>
      <c r="B1081" s="34">
        <v>0.0</v>
      </c>
      <c r="C1081" s="14"/>
      <c r="D1081" s="28" t="s">
        <v>104</v>
      </c>
      <c r="E1081" s="25">
        <f>E1079*6</f>
        <v>18181.81818</v>
      </c>
      <c r="G1081" s="35" t="s">
        <v>105</v>
      </c>
      <c r="H1081" s="36">
        <f>H1072+(25/60)</f>
        <v>4.583333333</v>
      </c>
      <c r="J1081" s="29" t="s">
        <v>106</v>
      </c>
      <c r="K1081" s="30">
        <f>E1089</f>
        <v>20000</v>
      </c>
      <c r="P1081" s="19"/>
    </row>
    <row r="1082">
      <c r="A1082" s="37" t="s">
        <v>107</v>
      </c>
      <c r="B1082" s="38">
        <v>1.0</v>
      </c>
      <c r="C1082" s="14"/>
      <c r="G1082" s="35" t="s">
        <v>108</v>
      </c>
      <c r="H1082" s="36">
        <f>I1075+(25/60)</f>
        <v>0.4166666667</v>
      </c>
      <c r="I1082" s="39" t="s">
        <v>109</v>
      </c>
      <c r="P1082" s="19"/>
    </row>
    <row r="1083">
      <c r="A1083" s="40" t="s">
        <v>110</v>
      </c>
      <c r="B1083" s="13">
        <v>0.0</v>
      </c>
      <c r="C1083" s="14"/>
      <c r="D1083" s="16" t="s">
        <v>111</v>
      </c>
      <c r="G1083" s="16" t="s">
        <v>112</v>
      </c>
      <c r="H1083" s="36"/>
      <c r="I1083" s="39" t="s">
        <v>113</v>
      </c>
      <c r="P1083" s="19"/>
    </row>
    <row r="1084">
      <c r="A1084" s="37" t="s">
        <v>114</v>
      </c>
      <c r="B1084" s="38">
        <v>1.0</v>
      </c>
      <c r="C1084" s="14"/>
      <c r="D1084" s="28" t="s">
        <v>92</v>
      </c>
      <c r="E1084" s="25">
        <f>E1073/H1075</f>
        <v>240000</v>
      </c>
      <c r="G1084" s="28" t="s">
        <v>92</v>
      </c>
      <c r="H1084" s="36">
        <f>E1074/H1082</f>
        <v>0</v>
      </c>
      <c r="I1084" s="39" t="s">
        <v>115</v>
      </c>
      <c r="P1084" s="19"/>
    </row>
    <row r="1085">
      <c r="A1085" s="40" t="s">
        <v>116</v>
      </c>
      <c r="B1085" s="13">
        <v>0.0</v>
      </c>
      <c r="C1085" s="14"/>
      <c r="D1085" s="28" t="s">
        <v>94</v>
      </c>
      <c r="E1085" s="25">
        <f>E1073/I1072</f>
        <v>166666.6667</v>
      </c>
      <c r="G1085" s="28" t="s">
        <v>94</v>
      </c>
      <c r="H1085" s="36">
        <f>E1074/I1072</f>
        <v>0</v>
      </c>
      <c r="I1085" s="39" t="s">
        <v>117</v>
      </c>
      <c r="P1085" s="19"/>
    </row>
    <row r="1086">
      <c r="A1086" s="37" t="s">
        <v>118</v>
      </c>
      <c r="B1086" s="38">
        <v>1.0</v>
      </c>
      <c r="C1086" s="14"/>
      <c r="D1086" s="28" t="s">
        <v>96</v>
      </c>
      <c r="E1086" s="25">
        <f>E1085/H1075</f>
        <v>40000</v>
      </c>
      <c r="G1086" s="28" t="s">
        <v>96</v>
      </c>
      <c r="H1086" s="36">
        <f>H1085/H1082</f>
        <v>0</v>
      </c>
      <c r="P1086" s="19"/>
    </row>
    <row r="1087">
      <c r="A1087" s="40" t="s">
        <v>119</v>
      </c>
      <c r="B1087" s="13">
        <v>0.0</v>
      </c>
      <c r="C1087" s="14"/>
      <c r="D1087" s="28" t="s">
        <v>99</v>
      </c>
      <c r="E1087" s="25">
        <f>E1086/12</f>
        <v>3333.333333</v>
      </c>
      <c r="G1087" s="28" t="s">
        <v>99</v>
      </c>
      <c r="H1087" s="36">
        <f>H1086/12</f>
        <v>0</v>
      </c>
      <c r="P1087" s="19"/>
    </row>
    <row r="1088">
      <c r="A1088" s="37" t="s">
        <v>120</v>
      </c>
      <c r="B1088" s="38">
        <v>1.0</v>
      </c>
      <c r="C1088" s="14"/>
      <c r="D1088" s="28" t="s">
        <v>101</v>
      </c>
      <c r="E1088" s="25">
        <f>E1087*5</f>
        <v>16666.66667</v>
      </c>
      <c r="G1088" s="28" t="s">
        <v>101</v>
      </c>
      <c r="H1088" s="36">
        <f>H1087*5</f>
        <v>0</v>
      </c>
      <c r="P1088" s="19"/>
    </row>
    <row r="1089">
      <c r="A1089" s="40" t="s">
        <v>121</v>
      </c>
      <c r="B1089" s="13">
        <v>0.0</v>
      </c>
      <c r="C1089" s="14"/>
      <c r="D1089" s="28" t="s">
        <v>104</v>
      </c>
      <c r="E1089" s="25">
        <f>E1087*6</f>
        <v>20000</v>
      </c>
      <c r="G1089" s="28" t="s">
        <v>104</v>
      </c>
      <c r="H1089" s="36">
        <f>H1087*6</f>
        <v>0</v>
      </c>
      <c r="P1089" s="19"/>
    </row>
    <row r="1090">
      <c r="A1090" s="37" t="s">
        <v>122</v>
      </c>
      <c r="B1090" s="38">
        <v>1.0</v>
      </c>
      <c r="C1090" s="14"/>
      <c r="P1090" s="19"/>
    </row>
    <row r="1091">
      <c r="A1091" s="40" t="s">
        <v>123</v>
      </c>
      <c r="B1091" s="13">
        <v>0.0</v>
      </c>
      <c r="C1091" s="14"/>
      <c r="D1091" s="28" t="s">
        <v>124</v>
      </c>
      <c r="E1091" s="41"/>
      <c r="F1091" s="41"/>
      <c r="P1091" s="19"/>
    </row>
    <row r="1092">
      <c r="A1092" s="37" t="s">
        <v>125</v>
      </c>
      <c r="B1092" s="38">
        <v>1.0</v>
      </c>
      <c r="C1092" s="14"/>
      <c r="D1092" s="4" t="s">
        <v>126</v>
      </c>
      <c r="E1092" s="25">
        <f t="shared" ref="E1092:E1095" si="186">H1086-E1086</f>
        <v>-40000</v>
      </c>
      <c r="P1092" s="19"/>
    </row>
    <row r="1093">
      <c r="A1093" s="42" t="s">
        <v>127</v>
      </c>
      <c r="C1093" s="14"/>
      <c r="D1093" s="4" t="s">
        <v>128</v>
      </c>
      <c r="E1093" s="25">
        <f t="shared" si="186"/>
        <v>-3333.333333</v>
      </c>
      <c r="P1093" s="19"/>
    </row>
    <row r="1094">
      <c r="A1094" s="32"/>
      <c r="C1094" s="14"/>
      <c r="D1094" s="4" t="s">
        <v>129</v>
      </c>
      <c r="E1094" s="25">
        <f t="shared" si="186"/>
        <v>-16666.66667</v>
      </c>
      <c r="G1094" s="43"/>
      <c r="P1094" s="19"/>
    </row>
    <row r="1095">
      <c r="A1095" s="32"/>
      <c r="C1095" s="14"/>
      <c r="D1095" s="4" t="s">
        <v>130</v>
      </c>
      <c r="E1095" s="25">
        <f t="shared" si="186"/>
        <v>-20000</v>
      </c>
      <c r="P1095" s="19"/>
    </row>
    <row r="1096">
      <c r="A1096" s="24"/>
      <c r="C1096" s="14"/>
      <c r="D1096" s="28" t="s">
        <v>131</v>
      </c>
      <c r="P1096" s="19"/>
    </row>
    <row r="1097">
      <c r="A1097" s="32"/>
      <c r="C1097" s="14"/>
      <c r="D1097" s="4" t="s">
        <v>132</v>
      </c>
      <c r="E1097" s="25">
        <f t="shared" ref="E1097:E1100" si="187">H1086-E1078</f>
        <v>-36363.63636</v>
      </c>
      <c r="P1097" s="19"/>
    </row>
    <row r="1098">
      <c r="A1098" s="32"/>
      <c r="C1098" s="14"/>
      <c r="D1098" s="4" t="s">
        <v>133</v>
      </c>
      <c r="E1098" s="25">
        <f t="shared" si="187"/>
        <v>-3030.30303</v>
      </c>
      <c r="G1098" s="28" t="s">
        <v>134</v>
      </c>
      <c r="I1098" s="35" t="s">
        <v>135</v>
      </c>
      <c r="J1098" s="35" t="s">
        <v>82</v>
      </c>
      <c r="P1098" s="19"/>
    </row>
    <row r="1099">
      <c r="A1099" s="32"/>
      <c r="C1099" s="14"/>
      <c r="D1099" s="4" t="s">
        <v>136</v>
      </c>
      <c r="E1099" s="25">
        <f t="shared" si="187"/>
        <v>-15151.51515</v>
      </c>
      <c r="G1099" s="35" t="s">
        <v>137</v>
      </c>
      <c r="H1099" s="25" t="str">
        <f>(E1072/H1084)-(25/60)</f>
        <v>#DIV/0!</v>
      </c>
      <c r="I1099" s="25" t="str">
        <f t="shared" ref="I1099:I1100" si="188">INT(H1099)</f>
        <v>#DIV/0!</v>
      </c>
      <c r="J1099" s="36" t="str">
        <f t="shared" ref="J1099:J1100" si="189">INT((H1099-I1099)*60)</f>
        <v>#DIV/0!</v>
      </c>
      <c r="P1099" s="19"/>
    </row>
    <row r="1100">
      <c r="A1100" s="44"/>
      <c r="B1100" s="45"/>
      <c r="C1100" s="46"/>
      <c r="D1100" s="47" t="s">
        <v>138</v>
      </c>
      <c r="E1100" s="45">
        <f t="shared" si="187"/>
        <v>-18181.81818</v>
      </c>
      <c r="F1100" s="45"/>
      <c r="G1100" s="48" t="s">
        <v>139</v>
      </c>
      <c r="H1100" s="45" t="str">
        <f>H1072-H1099</f>
        <v>#DIV/0!</v>
      </c>
      <c r="I1100" s="45" t="str">
        <f t="shared" si="188"/>
        <v>#DIV/0!</v>
      </c>
      <c r="J1100" s="49" t="str">
        <f t="shared" si="189"/>
        <v>#DIV/0!</v>
      </c>
      <c r="K1100" s="45"/>
      <c r="L1100" s="45"/>
      <c r="M1100" s="45"/>
      <c r="N1100" s="45"/>
      <c r="O1100" s="45"/>
      <c r="P1100" s="50"/>
    </row>
    <row r="1101">
      <c r="A1101" s="51"/>
      <c r="B1101" s="51"/>
      <c r="D1101" s="51"/>
    </row>
    <row r="1102">
      <c r="D1102" s="51"/>
      <c r="I1102" s="51"/>
    </row>
    <row r="1103">
      <c r="D1103" s="51"/>
      <c r="I1103" s="51"/>
    </row>
    <row r="1104">
      <c r="A1104" s="51"/>
      <c r="D1104" s="51"/>
      <c r="G1104" s="51"/>
    </row>
    <row r="1105">
      <c r="A1105" s="51"/>
      <c r="G1105" s="51"/>
    </row>
    <row r="1106">
      <c r="A1106" s="51"/>
      <c r="D1106" s="51"/>
      <c r="G1106" s="51"/>
    </row>
    <row r="1107">
      <c r="A1107" s="51"/>
      <c r="D1107" s="51"/>
      <c r="G1107" s="51"/>
    </row>
    <row r="1108">
      <c r="A1108" s="51"/>
      <c r="D1108" s="51"/>
      <c r="G1108" s="51"/>
    </row>
    <row r="1109">
      <c r="A1109" s="51"/>
      <c r="D1109" s="51"/>
      <c r="G1109" s="51"/>
    </row>
    <row r="1110">
      <c r="A1110" s="6" t="s">
        <v>70</v>
      </c>
      <c r="B1110" s="52"/>
      <c r="C1110" s="8"/>
      <c r="D1110" s="9" t="s">
        <v>71</v>
      </c>
      <c r="E1110" s="10"/>
      <c r="F1110" s="10"/>
      <c r="G1110" s="10"/>
      <c r="H1110" s="10"/>
      <c r="I1110" s="10"/>
      <c r="J1110" s="10"/>
      <c r="K1110" s="9"/>
      <c r="L1110" s="10"/>
      <c r="M1110" s="10"/>
      <c r="N1110" s="10"/>
      <c r="O1110" s="10"/>
      <c r="P1110" s="11"/>
    </row>
    <row r="1111">
      <c r="A1111" s="12" t="s">
        <v>72</v>
      </c>
      <c r="B1111" s="13">
        <v>1000000.0</v>
      </c>
      <c r="C1111" s="14"/>
      <c r="D1111" s="53" t="str">
        <f>B1110</f>
        <v/>
      </c>
      <c r="E1111" s="16" t="s">
        <v>73</v>
      </c>
      <c r="F1111" s="17"/>
      <c r="G1111" s="16" t="s">
        <v>74</v>
      </c>
      <c r="H1111" s="16" t="s">
        <v>75</v>
      </c>
      <c r="I1111" s="16" t="s">
        <v>76</v>
      </c>
      <c r="J1111" s="18" t="s">
        <v>77</v>
      </c>
      <c r="P1111" s="19"/>
    </row>
    <row r="1112">
      <c r="A1112" s="12" t="s">
        <v>78</v>
      </c>
      <c r="B1112" s="13">
        <v>1000000.0</v>
      </c>
      <c r="C1112" s="14"/>
      <c r="D1112" s="20" t="s">
        <v>72</v>
      </c>
      <c r="E1112" s="21">
        <f t="shared" ref="E1112:E1113" si="190">B1111</f>
        <v>1000000</v>
      </c>
      <c r="F1112" s="20" t="s">
        <v>79</v>
      </c>
      <c r="G1112" s="21">
        <f t="shared" ref="G1112:G1113" si="191">B1114</f>
        <v>4</v>
      </c>
      <c r="H1112" s="4">
        <f>G1112+(G1113/60)</f>
        <v>4.166666667</v>
      </c>
      <c r="I1112" s="21">
        <f>B1119</f>
        <v>6</v>
      </c>
      <c r="J1112" s="22" t="s">
        <v>80</v>
      </c>
      <c r="K1112" s="23">
        <f>B1121/B1122</f>
        <v>0</v>
      </c>
      <c r="P1112" s="19"/>
    </row>
    <row r="1113">
      <c r="A1113" s="12" t="s">
        <v>81</v>
      </c>
      <c r="B1113" s="14"/>
      <c r="C1113" s="14"/>
      <c r="D1113" s="20" t="s">
        <v>78</v>
      </c>
      <c r="E1113" s="21">
        <f t="shared" si="190"/>
        <v>1000000</v>
      </c>
      <c r="F1113" s="20" t="s">
        <v>82</v>
      </c>
      <c r="G1113" s="21">
        <f t="shared" si="191"/>
        <v>10</v>
      </c>
      <c r="J1113" s="22" t="s">
        <v>83</v>
      </c>
      <c r="K1113" s="23">
        <f>B1123/B1124</f>
        <v>0</v>
      </c>
      <c r="P1113" s="19"/>
    </row>
    <row r="1114">
      <c r="A1114" s="24" t="s">
        <v>79</v>
      </c>
      <c r="B1114" s="13">
        <v>4.0</v>
      </c>
      <c r="C1114" s="14"/>
      <c r="D1114" s="20" t="s">
        <v>84</v>
      </c>
      <c r="E1114" s="25">
        <f>E1112-E1113</f>
        <v>0</v>
      </c>
      <c r="F1114" s="26"/>
      <c r="G1114" s="16" t="s">
        <v>85</v>
      </c>
      <c r="H1114" s="16" t="s">
        <v>86</v>
      </c>
      <c r="I1114" s="16" t="s">
        <v>87</v>
      </c>
      <c r="J1114" s="22" t="s">
        <v>88</v>
      </c>
      <c r="K1114" s="23">
        <f>B1125/B1126</f>
        <v>0</v>
      </c>
      <c r="P1114" s="19"/>
    </row>
    <row r="1115">
      <c r="A1115" s="24" t="s">
        <v>89</v>
      </c>
      <c r="B1115" s="13">
        <v>10.0</v>
      </c>
      <c r="C1115" s="14"/>
      <c r="D1115" s="16" t="s">
        <v>90</v>
      </c>
      <c r="F1115" s="20" t="s">
        <v>79</v>
      </c>
      <c r="G1115" s="21">
        <f t="shared" ref="G1115:G1116" si="192">B1117</f>
        <v>4</v>
      </c>
      <c r="H1115" s="25">
        <f>G1115+(G1116/60)</f>
        <v>4.166666667</v>
      </c>
      <c r="I1115" s="25">
        <f>H1112-H1115</f>
        <v>0</v>
      </c>
      <c r="J1115" s="22" t="s">
        <v>91</v>
      </c>
      <c r="K1115" s="23">
        <f>B1127/B1128</f>
        <v>0</v>
      </c>
      <c r="P1115" s="19"/>
    </row>
    <row r="1116">
      <c r="A1116" s="12" t="s">
        <v>85</v>
      </c>
      <c r="B1116" s="27"/>
      <c r="C1116" s="14"/>
      <c r="D1116" s="28" t="s">
        <v>92</v>
      </c>
      <c r="E1116" s="25">
        <f>E1112/H1121</f>
        <v>218181.8182</v>
      </c>
      <c r="F1116" s="20" t="s">
        <v>82</v>
      </c>
      <c r="G1116" s="21">
        <f t="shared" si="192"/>
        <v>10</v>
      </c>
      <c r="J1116" s="22" t="s">
        <v>93</v>
      </c>
      <c r="K1116" s="23">
        <f>B1129/B1130</f>
        <v>0</v>
      </c>
      <c r="P1116" s="19"/>
    </row>
    <row r="1117">
      <c r="A1117" s="24" t="s">
        <v>79</v>
      </c>
      <c r="B1117" s="13">
        <v>4.0</v>
      </c>
      <c r="C1117" s="14"/>
      <c r="D1117" s="28" t="s">
        <v>94</v>
      </c>
      <c r="E1117" s="25">
        <f>E1112/I1112</f>
        <v>166666.6667</v>
      </c>
      <c r="J1117" s="22" t="s">
        <v>95</v>
      </c>
      <c r="K1117" s="23">
        <f>B1131/B1132</f>
        <v>0</v>
      </c>
      <c r="P1117" s="19"/>
    </row>
    <row r="1118">
      <c r="A1118" s="24" t="s">
        <v>89</v>
      </c>
      <c r="B1118" s="13">
        <v>10.0</v>
      </c>
      <c r="C1118" s="14"/>
      <c r="D1118" s="28" t="s">
        <v>96</v>
      </c>
      <c r="E1118" s="25">
        <f>E1116/I1112</f>
        <v>36363.63636</v>
      </c>
      <c r="J1118" s="29" t="s">
        <v>97</v>
      </c>
      <c r="K1118" s="30">
        <f>SUM(K1112:K1117)</f>
        <v>0</v>
      </c>
      <c r="P1118" s="19"/>
    </row>
    <row r="1119">
      <c r="A1119" s="12" t="s">
        <v>98</v>
      </c>
      <c r="B1119" s="13">
        <v>6.0</v>
      </c>
      <c r="C1119" s="14"/>
      <c r="D1119" s="28" t="s">
        <v>99</v>
      </c>
      <c r="E1119" s="31">
        <f>E1118/12</f>
        <v>3030.30303</v>
      </c>
      <c r="I1119" s="29"/>
      <c r="J1119" s="29" t="s">
        <v>100</v>
      </c>
      <c r="K1119" s="30">
        <f>H1129</f>
        <v>0</v>
      </c>
      <c r="P1119" s="19"/>
    </row>
    <row r="1120">
      <c r="A1120" s="32"/>
      <c r="B1120" s="14"/>
      <c r="C1120" s="14"/>
      <c r="D1120" s="28" t="s">
        <v>101</v>
      </c>
      <c r="E1120" s="25">
        <f>E1119*5</f>
        <v>15151.51515</v>
      </c>
      <c r="J1120" s="29" t="s">
        <v>102</v>
      </c>
      <c r="K1120" s="30">
        <f>E1121</f>
        <v>18181.81818</v>
      </c>
      <c r="P1120" s="19"/>
    </row>
    <row r="1121">
      <c r="A1121" s="33" t="s">
        <v>103</v>
      </c>
      <c r="B1121" s="34">
        <v>0.0</v>
      </c>
      <c r="C1121" s="14"/>
      <c r="D1121" s="28" t="s">
        <v>104</v>
      </c>
      <c r="E1121" s="25">
        <f>E1119*6</f>
        <v>18181.81818</v>
      </c>
      <c r="G1121" s="35" t="s">
        <v>105</v>
      </c>
      <c r="H1121" s="36">
        <f>H1112+(25/60)</f>
        <v>4.583333333</v>
      </c>
      <c r="J1121" s="29" t="s">
        <v>106</v>
      </c>
      <c r="K1121" s="30">
        <f>E1129</f>
        <v>20000</v>
      </c>
      <c r="P1121" s="19"/>
    </row>
    <row r="1122">
      <c r="A1122" s="37" t="s">
        <v>107</v>
      </c>
      <c r="B1122" s="38">
        <v>1.0</v>
      </c>
      <c r="C1122" s="14"/>
      <c r="G1122" s="35" t="s">
        <v>108</v>
      </c>
      <c r="H1122" s="36">
        <f>I1115+(25/60)</f>
        <v>0.4166666667</v>
      </c>
      <c r="I1122" s="39" t="s">
        <v>109</v>
      </c>
      <c r="P1122" s="19"/>
    </row>
    <row r="1123">
      <c r="A1123" s="40" t="s">
        <v>110</v>
      </c>
      <c r="B1123" s="13">
        <v>0.0</v>
      </c>
      <c r="C1123" s="14"/>
      <c r="D1123" s="16" t="s">
        <v>111</v>
      </c>
      <c r="G1123" s="16" t="s">
        <v>112</v>
      </c>
      <c r="H1123" s="36"/>
      <c r="I1123" s="39" t="s">
        <v>113</v>
      </c>
      <c r="P1123" s="19"/>
    </row>
    <row r="1124">
      <c r="A1124" s="37" t="s">
        <v>114</v>
      </c>
      <c r="B1124" s="38">
        <v>1.0</v>
      </c>
      <c r="C1124" s="14"/>
      <c r="D1124" s="28" t="s">
        <v>92</v>
      </c>
      <c r="E1124" s="25">
        <f>E1113/H1115</f>
        <v>240000</v>
      </c>
      <c r="G1124" s="28" t="s">
        <v>92</v>
      </c>
      <c r="H1124" s="36">
        <f>E1114/H1122</f>
        <v>0</v>
      </c>
      <c r="I1124" s="39" t="s">
        <v>115</v>
      </c>
      <c r="P1124" s="19"/>
    </row>
    <row r="1125">
      <c r="A1125" s="40" t="s">
        <v>116</v>
      </c>
      <c r="B1125" s="13">
        <v>0.0</v>
      </c>
      <c r="C1125" s="14"/>
      <c r="D1125" s="28" t="s">
        <v>94</v>
      </c>
      <c r="E1125" s="25">
        <f>E1113/I1112</f>
        <v>166666.6667</v>
      </c>
      <c r="G1125" s="28" t="s">
        <v>94</v>
      </c>
      <c r="H1125" s="36">
        <f>E1114/I1112</f>
        <v>0</v>
      </c>
      <c r="I1125" s="39" t="s">
        <v>117</v>
      </c>
      <c r="P1125" s="19"/>
    </row>
    <row r="1126">
      <c r="A1126" s="37" t="s">
        <v>118</v>
      </c>
      <c r="B1126" s="38">
        <v>1.0</v>
      </c>
      <c r="C1126" s="14"/>
      <c r="D1126" s="28" t="s">
        <v>96</v>
      </c>
      <c r="E1126" s="25">
        <f>E1125/H1115</f>
        <v>40000</v>
      </c>
      <c r="G1126" s="28" t="s">
        <v>96</v>
      </c>
      <c r="H1126" s="36">
        <f>H1125/H1122</f>
        <v>0</v>
      </c>
      <c r="P1126" s="19"/>
    </row>
    <row r="1127">
      <c r="A1127" s="40" t="s">
        <v>119</v>
      </c>
      <c r="B1127" s="13">
        <v>0.0</v>
      </c>
      <c r="C1127" s="14"/>
      <c r="D1127" s="28" t="s">
        <v>99</v>
      </c>
      <c r="E1127" s="25">
        <f>E1126/12</f>
        <v>3333.333333</v>
      </c>
      <c r="G1127" s="28" t="s">
        <v>99</v>
      </c>
      <c r="H1127" s="36">
        <f>H1126/12</f>
        <v>0</v>
      </c>
      <c r="P1127" s="19"/>
    </row>
    <row r="1128">
      <c r="A1128" s="37" t="s">
        <v>120</v>
      </c>
      <c r="B1128" s="38">
        <v>1.0</v>
      </c>
      <c r="C1128" s="14"/>
      <c r="D1128" s="28" t="s">
        <v>101</v>
      </c>
      <c r="E1128" s="25">
        <f>E1127*5</f>
        <v>16666.66667</v>
      </c>
      <c r="G1128" s="28" t="s">
        <v>101</v>
      </c>
      <c r="H1128" s="36">
        <f>H1127*5</f>
        <v>0</v>
      </c>
      <c r="P1128" s="19"/>
    </row>
    <row r="1129">
      <c r="A1129" s="40" t="s">
        <v>121</v>
      </c>
      <c r="B1129" s="13">
        <v>0.0</v>
      </c>
      <c r="C1129" s="14"/>
      <c r="D1129" s="28" t="s">
        <v>104</v>
      </c>
      <c r="E1129" s="25">
        <f>E1127*6</f>
        <v>20000</v>
      </c>
      <c r="G1129" s="28" t="s">
        <v>104</v>
      </c>
      <c r="H1129" s="36">
        <f>H1127*6</f>
        <v>0</v>
      </c>
      <c r="P1129" s="19"/>
    </row>
    <row r="1130">
      <c r="A1130" s="37" t="s">
        <v>122</v>
      </c>
      <c r="B1130" s="38">
        <v>1.0</v>
      </c>
      <c r="C1130" s="14"/>
      <c r="P1130" s="19"/>
    </row>
    <row r="1131">
      <c r="A1131" s="40" t="s">
        <v>123</v>
      </c>
      <c r="B1131" s="13">
        <v>0.0</v>
      </c>
      <c r="C1131" s="14"/>
      <c r="D1131" s="28" t="s">
        <v>124</v>
      </c>
      <c r="E1131" s="41"/>
      <c r="F1131" s="41"/>
      <c r="P1131" s="19"/>
    </row>
    <row r="1132">
      <c r="A1132" s="37" t="s">
        <v>125</v>
      </c>
      <c r="B1132" s="38">
        <v>1.0</v>
      </c>
      <c r="C1132" s="14"/>
      <c r="D1132" s="4" t="s">
        <v>126</v>
      </c>
      <c r="E1132" s="25">
        <f t="shared" ref="E1132:E1135" si="193">H1126-E1126</f>
        <v>-40000</v>
      </c>
      <c r="P1132" s="19"/>
    </row>
    <row r="1133">
      <c r="A1133" s="42" t="s">
        <v>127</v>
      </c>
      <c r="C1133" s="14"/>
      <c r="D1133" s="4" t="s">
        <v>128</v>
      </c>
      <c r="E1133" s="25">
        <f t="shared" si="193"/>
        <v>-3333.333333</v>
      </c>
      <c r="P1133" s="19"/>
    </row>
    <row r="1134">
      <c r="A1134" s="32"/>
      <c r="C1134" s="14"/>
      <c r="D1134" s="4" t="s">
        <v>129</v>
      </c>
      <c r="E1134" s="25">
        <f t="shared" si="193"/>
        <v>-16666.66667</v>
      </c>
      <c r="G1134" s="43"/>
      <c r="P1134" s="19"/>
    </row>
    <row r="1135">
      <c r="A1135" s="32"/>
      <c r="C1135" s="14"/>
      <c r="D1135" s="4" t="s">
        <v>130</v>
      </c>
      <c r="E1135" s="25">
        <f t="shared" si="193"/>
        <v>-20000</v>
      </c>
      <c r="P1135" s="19"/>
    </row>
    <row r="1136">
      <c r="A1136" s="24"/>
      <c r="C1136" s="14"/>
      <c r="D1136" s="28" t="s">
        <v>131</v>
      </c>
      <c r="P1136" s="19"/>
    </row>
    <row r="1137">
      <c r="A1137" s="32"/>
      <c r="C1137" s="14"/>
      <c r="D1137" s="4" t="s">
        <v>132</v>
      </c>
      <c r="E1137" s="25">
        <f t="shared" ref="E1137:E1140" si="194">H1126-E1118</f>
        <v>-36363.63636</v>
      </c>
      <c r="P1137" s="19"/>
    </row>
    <row r="1138">
      <c r="A1138" s="32"/>
      <c r="C1138" s="14"/>
      <c r="D1138" s="4" t="s">
        <v>133</v>
      </c>
      <c r="E1138" s="25">
        <f t="shared" si="194"/>
        <v>-3030.30303</v>
      </c>
      <c r="G1138" s="28" t="s">
        <v>134</v>
      </c>
      <c r="I1138" s="35" t="s">
        <v>135</v>
      </c>
      <c r="J1138" s="35" t="s">
        <v>82</v>
      </c>
      <c r="P1138" s="19"/>
    </row>
    <row r="1139">
      <c r="A1139" s="32"/>
      <c r="C1139" s="14"/>
      <c r="D1139" s="4" t="s">
        <v>136</v>
      </c>
      <c r="E1139" s="25">
        <f t="shared" si="194"/>
        <v>-15151.51515</v>
      </c>
      <c r="G1139" s="35" t="s">
        <v>137</v>
      </c>
      <c r="H1139" s="25" t="str">
        <f>(E1112/H1124)-(25/60)</f>
        <v>#DIV/0!</v>
      </c>
      <c r="I1139" s="25" t="str">
        <f t="shared" ref="I1139:I1140" si="195">INT(H1139)</f>
        <v>#DIV/0!</v>
      </c>
      <c r="J1139" s="36" t="str">
        <f t="shared" ref="J1139:J1140" si="196">INT((H1139-I1139)*60)</f>
        <v>#DIV/0!</v>
      </c>
      <c r="P1139" s="19"/>
    </row>
    <row r="1140">
      <c r="A1140" s="44"/>
      <c r="B1140" s="45"/>
      <c r="C1140" s="46"/>
      <c r="D1140" s="47" t="s">
        <v>138</v>
      </c>
      <c r="E1140" s="45">
        <f t="shared" si="194"/>
        <v>-18181.81818</v>
      </c>
      <c r="F1140" s="45"/>
      <c r="G1140" s="48" t="s">
        <v>139</v>
      </c>
      <c r="H1140" s="45" t="str">
        <f>H1112-H1139</f>
        <v>#DIV/0!</v>
      </c>
      <c r="I1140" s="45" t="str">
        <f t="shared" si="195"/>
        <v>#DIV/0!</v>
      </c>
      <c r="J1140" s="49" t="str">
        <f t="shared" si="196"/>
        <v>#DIV/0!</v>
      </c>
      <c r="K1140" s="45"/>
      <c r="L1140" s="45"/>
      <c r="M1140" s="45"/>
      <c r="N1140" s="45"/>
      <c r="O1140" s="45"/>
      <c r="P1140" s="50"/>
    </row>
    <row r="1141">
      <c r="A1141" s="51"/>
      <c r="B1141" s="51"/>
      <c r="D1141" s="51"/>
    </row>
    <row r="1142">
      <c r="D1142" s="51"/>
      <c r="I1142" s="51"/>
    </row>
    <row r="1143">
      <c r="D1143" s="51"/>
      <c r="I1143" s="51"/>
    </row>
    <row r="1144">
      <c r="D1144" s="51"/>
      <c r="G1144" s="51"/>
    </row>
    <row r="1145">
      <c r="G1145" s="51"/>
    </row>
    <row r="1146">
      <c r="D1146" s="51"/>
      <c r="G1146" s="51"/>
    </row>
    <row r="1147">
      <c r="D1147" s="51"/>
      <c r="G1147" s="51"/>
    </row>
    <row r="1148">
      <c r="D1148" s="51"/>
      <c r="G1148" s="51"/>
    </row>
    <row r="1149">
      <c r="D1149" s="51"/>
      <c r="G1149" s="51"/>
    </row>
    <row r="1150">
      <c r="A1150" s="6" t="s">
        <v>70</v>
      </c>
      <c r="B1150" s="52"/>
      <c r="C1150" s="8"/>
      <c r="D1150" s="9" t="s">
        <v>71</v>
      </c>
      <c r="E1150" s="10"/>
      <c r="F1150" s="10"/>
      <c r="G1150" s="10"/>
      <c r="H1150" s="10"/>
      <c r="I1150" s="10"/>
      <c r="J1150" s="10"/>
      <c r="K1150" s="9"/>
      <c r="L1150" s="10"/>
      <c r="M1150" s="10"/>
      <c r="N1150" s="10"/>
      <c r="O1150" s="10"/>
      <c r="P1150" s="11"/>
    </row>
    <row r="1151">
      <c r="A1151" s="12" t="s">
        <v>72</v>
      </c>
      <c r="B1151" s="13">
        <v>1000000.0</v>
      </c>
      <c r="C1151" s="14"/>
      <c r="D1151" s="53" t="str">
        <f>B1150</f>
        <v/>
      </c>
      <c r="E1151" s="16" t="s">
        <v>73</v>
      </c>
      <c r="F1151" s="17"/>
      <c r="G1151" s="16" t="s">
        <v>74</v>
      </c>
      <c r="H1151" s="16" t="s">
        <v>75</v>
      </c>
      <c r="I1151" s="16" t="s">
        <v>76</v>
      </c>
      <c r="J1151" s="18" t="s">
        <v>77</v>
      </c>
      <c r="P1151" s="19"/>
    </row>
    <row r="1152">
      <c r="A1152" s="12" t="s">
        <v>78</v>
      </c>
      <c r="B1152" s="13">
        <v>1000000.0</v>
      </c>
      <c r="C1152" s="14"/>
      <c r="D1152" s="20" t="s">
        <v>72</v>
      </c>
      <c r="E1152" s="21">
        <f t="shared" ref="E1152:E1153" si="197">B1151</f>
        <v>1000000</v>
      </c>
      <c r="F1152" s="20" t="s">
        <v>79</v>
      </c>
      <c r="G1152" s="21">
        <f t="shared" ref="G1152:G1153" si="198">B1154</f>
        <v>4</v>
      </c>
      <c r="H1152" s="4">
        <f>G1152+(G1153/60)</f>
        <v>4.166666667</v>
      </c>
      <c r="I1152" s="21">
        <f>B1159</f>
        <v>6</v>
      </c>
      <c r="J1152" s="22" t="s">
        <v>80</v>
      </c>
      <c r="K1152" s="23">
        <f>B1161/B1162</f>
        <v>0</v>
      </c>
      <c r="P1152" s="19"/>
    </row>
    <row r="1153">
      <c r="A1153" s="12" t="s">
        <v>81</v>
      </c>
      <c r="B1153" s="14"/>
      <c r="C1153" s="14"/>
      <c r="D1153" s="20" t="s">
        <v>78</v>
      </c>
      <c r="E1153" s="21">
        <f t="shared" si="197"/>
        <v>1000000</v>
      </c>
      <c r="F1153" s="20" t="s">
        <v>82</v>
      </c>
      <c r="G1153" s="21">
        <f t="shared" si="198"/>
        <v>10</v>
      </c>
      <c r="J1153" s="22" t="s">
        <v>83</v>
      </c>
      <c r="K1153" s="23">
        <f>B1163/B1164</f>
        <v>0</v>
      </c>
      <c r="P1153" s="19"/>
    </row>
    <row r="1154">
      <c r="A1154" s="24" t="s">
        <v>79</v>
      </c>
      <c r="B1154" s="13">
        <v>4.0</v>
      </c>
      <c r="C1154" s="14"/>
      <c r="D1154" s="20" t="s">
        <v>84</v>
      </c>
      <c r="E1154" s="25">
        <f>E1152-E1153</f>
        <v>0</v>
      </c>
      <c r="F1154" s="26"/>
      <c r="G1154" s="16" t="s">
        <v>85</v>
      </c>
      <c r="H1154" s="16" t="s">
        <v>86</v>
      </c>
      <c r="I1154" s="16" t="s">
        <v>87</v>
      </c>
      <c r="J1154" s="22" t="s">
        <v>88</v>
      </c>
      <c r="K1154" s="23">
        <f>B1165/B1166</f>
        <v>0</v>
      </c>
      <c r="P1154" s="19"/>
    </row>
    <row r="1155">
      <c r="A1155" s="24" t="s">
        <v>89</v>
      </c>
      <c r="B1155" s="13">
        <v>10.0</v>
      </c>
      <c r="C1155" s="14"/>
      <c r="D1155" s="16" t="s">
        <v>90</v>
      </c>
      <c r="F1155" s="20" t="s">
        <v>79</v>
      </c>
      <c r="G1155" s="21">
        <f t="shared" ref="G1155:G1156" si="199">B1157</f>
        <v>4</v>
      </c>
      <c r="H1155" s="25">
        <f>G1155+(G1156/60)</f>
        <v>4.166666667</v>
      </c>
      <c r="I1155" s="25">
        <f>H1152-H1155</f>
        <v>0</v>
      </c>
      <c r="J1155" s="22" t="s">
        <v>91</v>
      </c>
      <c r="K1155" s="23">
        <f>B1167/B1168</f>
        <v>0</v>
      </c>
      <c r="P1155" s="19"/>
    </row>
    <row r="1156">
      <c r="A1156" s="12" t="s">
        <v>85</v>
      </c>
      <c r="B1156" s="27"/>
      <c r="C1156" s="14"/>
      <c r="D1156" s="28" t="s">
        <v>92</v>
      </c>
      <c r="E1156" s="25">
        <f>E1152/H1161</f>
        <v>218181.8182</v>
      </c>
      <c r="F1156" s="20" t="s">
        <v>82</v>
      </c>
      <c r="G1156" s="21">
        <f t="shared" si="199"/>
        <v>10</v>
      </c>
      <c r="J1156" s="22" t="s">
        <v>93</v>
      </c>
      <c r="K1156" s="23">
        <f>B1169/B1170</f>
        <v>0</v>
      </c>
      <c r="P1156" s="19"/>
    </row>
    <row r="1157">
      <c r="A1157" s="24" t="s">
        <v>79</v>
      </c>
      <c r="B1157" s="13">
        <v>4.0</v>
      </c>
      <c r="C1157" s="14"/>
      <c r="D1157" s="28" t="s">
        <v>94</v>
      </c>
      <c r="E1157" s="25">
        <f>E1152/I1152</f>
        <v>166666.6667</v>
      </c>
      <c r="J1157" s="22" t="s">
        <v>95</v>
      </c>
      <c r="K1157" s="23">
        <f>B1171/B1172</f>
        <v>0</v>
      </c>
      <c r="P1157" s="19"/>
    </row>
    <row r="1158">
      <c r="A1158" s="24" t="s">
        <v>89</v>
      </c>
      <c r="B1158" s="13">
        <v>10.0</v>
      </c>
      <c r="C1158" s="14"/>
      <c r="D1158" s="28" t="s">
        <v>96</v>
      </c>
      <c r="E1158" s="25">
        <f>E1156/I1152</f>
        <v>36363.63636</v>
      </c>
      <c r="J1158" s="29" t="s">
        <v>97</v>
      </c>
      <c r="K1158" s="30">
        <f>SUM(K1152:K1157)</f>
        <v>0</v>
      </c>
      <c r="P1158" s="19"/>
    </row>
    <row r="1159">
      <c r="A1159" s="12" t="s">
        <v>98</v>
      </c>
      <c r="B1159" s="13">
        <v>6.0</v>
      </c>
      <c r="C1159" s="14"/>
      <c r="D1159" s="28" t="s">
        <v>99</v>
      </c>
      <c r="E1159" s="31">
        <f>E1158/12</f>
        <v>3030.30303</v>
      </c>
      <c r="I1159" s="29"/>
      <c r="J1159" s="29" t="s">
        <v>100</v>
      </c>
      <c r="K1159" s="30">
        <f>H1169</f>
        <v>0</v>
      </c>
      <c r="P1159" s="19"/>
    </row>
    <row r="1160">
      <c r="A1160" s="32"/>
      <c r="B1160" s="14"/>
      <c r="C1160" s="14"/>
      <c r="D1160" s="28" t="s">
        <v>101</v>
      </c>
      <c r="E1160" s="25">
        <f>E1159*5</f>
        <v>15151.51515</v>
      </c>
      <c r="J1160" s="29" t="s">
        <v>102</v>
      </c>
      <c r="K1160" s="30">
        <f>E1161</f>
        <v>18181.81818</v>
      </c>
      <c r="P1160" s="19"/>
    </row>
    <row r="1161">
      <c r="A1161" s="33" t="s">
        <v>103</v>
      </c>
      <c r="B1161" s="34">
        <v>0.0</v>
      </c>
      <c r="C1161" s="14"/>
      <c r="D1161" s="28" t="s">
        <v>104</v>
      </c>
      <c r="E1161" s="25">
        <f>E1159*6</f>
        <v>18181.81818</v>
      </c>
      <c r="G1161" s="35" t="s">
        <v>105</v>
      </c>
      <c r="H1161" s="36">
        <f>H1152+(25/60)</f>
        <v>4.583333333</v>
      </c>
      <c r="J1161" s="29" t="s">
        <v>106</v>
      </c>
      <c r="K1161" s="30">
        <f>E1169</f>
        <v>20000</v>
      </c>
      <c r="P1161" s="19"/>
    </row>
    <row r="1162">
      <c r="A1162" s="37" t="s">
        <v>107</v>
      </c>
      <c r="B1162" s="38">
        <v>1.0</v>
      </c>
      <c r="C1162" s="14"/>
      <c r="G1162" s="35" t="s">
        <v>108</v>
      </c>
      <c r="H1162" s="36">
        <f>I1155+(25/60)</f>
        <v>0.4166666667</v>
      </c>
      <c r="I1162" s="39" t="s">
        <v>109</v>
      </c>
      <c r="P1162" s="19"/>
    </row>
    <row r="1163">
      <c r="A1163" s="40" t="s">
        <v>110</v>
      </c>
      <c r="B1163" s="13">
        <v>0.0</v>
      </c>
      <c r="C1163" s="14"/>
      <c r="D1163" s="16" t="s">
        <v>111</v>
      </c>
      <c r="G1163" s="16" t="s">
        <v>112</v>
      </c>
      <c r="H1163" s="36"/>
      <c r="I1163" s="39" t="s">
        <v>113</v>
      </c>
      <c r="P1163" s="19"/>
    </row>
    <row r="1164">
      <c r="A1164" s="37" t="s">
        <v>114</v>
      </c>
      <c r="B1164" s="38">
        <v>1.0</v>
      </c>
      <c r="C1164" s="14"/>
      <c r="D1164" s="28" t="s">
        <v>92</v>
      </c>
      <c r="E1164" s="25">
        <f>E1153/H1155</f>
        <v>240000</v>
      </c>
      <c r="G1164" s="28" t="s">
        <v>92</v>
      </c>
      <c r="H1164" s="36">
        <f>E1154/H1162</f>
        <v>0</v>
      </c>
      <c r="I1164" s="39" t="s">
        <v>115</v>
      </c>
      <c r="P1164" s="19"/>
    </row>
    <row r="1165">
      <c r="A1165" s="40" t="s">
        <v>116</v>
      </c>
      <c r="B1165" s="13">
        <v>0.0</v>
      </c>
      <c r="C1165" s="14"/>
      <c r="D1165" s="28" t="s">
        <v>94</v>
      </c>
      <c r="E1165" s="25">
        <f>E1153/I1152</f>
        <v>166666.6667</v>
      </c>
      <c r="G1165" s="28" t="s">
        <v>94</v>
      </c>
      <c r="H1165" s="36">
        <f>E1154/I1152</f>
        <v>0</v>
      </c>
      <c r="I1165" s="39" t="s">
        <v>117</v>
      </c>
      <c r="P1165" s="19"/>
    </row>
    <row r="1166">
      <c r="A1166" s="37" t="s">
        <v>118</v>
      </c>
      <c r="B1166" s="38">
        <v>1.0</v>
      </c>
      <c r="C1166" s="14"/>
      <c r="D1166" s="28" t="s">
        <v>96</v>
      </c>
      <c r="E1166" s="25">
        <f>E1165/H1155</f>
        <v>40000</v>
      </c>
      <c r="G1166" s="28" t="s">
        <v>96</v>
      </c>
      <c r="H1166" s="36">
        <f>H1165/H1162</f>
        <v>0</v>
      </c>
      <c r="P1166" s="19"/>
    </row>
    <row r="1167">
      <c r="A1167" s="40" t="s">
        <v>119</v>
      </c>
      <c r="B1167" s="13">
        <v>0.0</v>
      </c>
      <c r="C1167" s="14"/>
      <c r="D1167" s="28" t="s">
        <v>99</v>
      </c>
      <c r="E1167" s="25">
        <f>E1166/12</f>
        <v>3333.333333</v>
      </c>
      <c r="G1167" s="28" t="s">
        <v>99</v>
      </c>
      <c r="H1167" s="36">
        <f>H1166/12</f>
        <v>0</v>
      </c>
      <c r="P1167" s="19"/>
    </row>
    <row r="1168">
      <c r="A1168" s="37" t="s">
        <v>120</v>
      </c>
      <c r="B1168" s="38">
        <v>1.0</v>
      </c>
      <c r="C1168" s="14"/>
      <c r="D1168" s="28" t="s">
        <v>101</v>
      </c>
      <c r="E1168" s="25">
        <f>E1167*5</f>
        <v>16666.66667</v>
      </c>
      <c r="G1168" s="28" t="s">
        <v>101</v>
      </c>
      <c r="H1168" s="36">
        <f>H1167*5</f>
        <v>0</v>
      </c>
      <c r="P1168" s="19"/>
    </row>
    <row r="1169">
      <c r="A1169" s="40" t="s">
        <v>121</v>
      </c>
      <c r="B1169" s="13">
        <v>0.0</v>
      </c>
      <c r="C1169" s="14"/>
      <c r="D1169" s="28" t="s">
        <v>104</v>
      </c>
      <c r="E1169" s="25">
        <f>E1167*6</f>
        <v>20000</v>
      </c>
      <c r="G1169" s="28" t="s">
        <v>104</v>
      </c>
      <c r="H1169" s="36">
        <f>H1167*6</f>
        <v>0</v>
      </c>
      <c r="P1169" s="19"/>
    </row>
    <row r="1170">
      <c r="A1170" s="37" t="s">
        <v>122</v>
      </c>
      <c r="B1170" s="38">
        <v>1.0</v>
      </c>
      <c r="C1170" s="14"/>
      <c r="P1170" s="19"/>
    </row>
    <row r="1171">
      <c r="A1171" s="40" t="s">
        <v>123</v>
      </c>
      <c r="B1171" s="13">
        <v>0.0</v>
      </c>
      <c r="C1171" s="14"/>
      <c r="D1171" s="28" t="s">
        <v>124</v>
      </c>
      <c r="E1171" s="41"/>
      <c r="F1171" s="41"/>
      <c r="P1171" s="19"/>
    </row>
    <row r="1172">
      <c r="A1172" s="37" t="s">
        <v>125</v>
      </c>
      <c r="B1172" s="38">
        <v>1.0</v>
      </c>
      <c r="C1172" s="14"/>
      <c r="D1172" s="4" t="s">
        <v>126</v>
      </c>
      <c r="E1172" s="25">
        <f t="shared" ref="E1172:E1175" si="200">H1166-E1166</f>
        <v>-40000</v>
      </c>
      <c r="P1172" s="19"/>
    </row>
    <row r="1173">
      <c r="A1173" s="42" t="s">
        <v>127</v>
      </c>
      <c r="C1173" s="14"/>
      <c r="D1173" s="4" t="s">
        <v>128</v>
      </c>
      <c r="E1173" s="25">
        <f t="shared" si="200"/>
        <v>-3333.333333</v>
      </c>
      <c r="P1173" s="19"/>
    </row>
    <row r="1174">
      <c r="A1174" s="32"/>
      <c r="C1174" s="14"/>
      <c r="D1174" s="4" t="s">
        <v>129</v>
      </c>
      <c r="E1174" s="25">
        <f t="shared" si="200"/>
        <v>-16666.66667</v>
      </c>
      <c r="G1174" s="43"/>
      <c r="P1174" s="19"/>
    </row>
    <row r="1175">
      <c r="A1175" s="32"/>
      <c r="C1175" s="14"/>
      <c r="D1175" s="4" t="s">
        <v>130</v>
      </c>
      <c r="E1175" s="25">
        <f t="shared" si="200"/>
        <v>-20000</v>
      </c>
      <c r="P1175" s="19"/>
    </row>
    <row r="1176">
      <c r="A1176" s="24"/>
      <c r="C1176" s="14"/>
      <c r="D1176" s="28" t="s">
        <v>131</v>
      </c>
      <c r="P1176" s="19"/>
    </row>
    <row r="1177">
      <c r="A1177" s="32"/>
      <c r="C1177" s="14"/>
      <c r="D1177" s="4" t="s">
        <v>132</v>
      </c>
      <c r="E1177" s="25">
        <f t="shared" ref="E1177:E1180" si="201">H1166-E1158</f>
        <v>-36363.63636</v>
      </c>
      <c r="P1177" s="19"/>
    </row>
    <row r="1178">
      <c r="A1178" s="32"/>
      <c r="C1178" s="14"/>
      <c r="D1178" s="4" t="s">
        <v>133</v>
      </c>
      <c r="E1178" s="25">
        <f t="shared" si="201"/>
        <v>-3030.30303</v>
      </c>
      <c r="G1178" s="28" t="s">
        <v>134</v>
      </c>
      <c r="I1178" s="35" t="s">
        <v>135</v>
      </c>
      <c r="J1178" s="35" t="s">
        <v>82</v>
      </c>
      <c r="P1178" s="19"/>
    </row>
    <row r="1179">
      <c r="A1179" s="32"/>
      <c r="C1179" s="14"/>
      <c r="D1179" s="4" t="s">
        <v>136</v>
      </c>
      <c r="E1179" s="25">
        <f t="shared" si="201"/>
        <v>-15151.51515</v>
      </c>
      <c r="G1179" s="35" t="s">
        <v>137</v>
      </c>
      <c r="H1179" s="25" t="str">
        <f>(E1152/H1164)-(25/60)</f>
        <v>#DIV/0!</v>
      </c>
      <c r="I1179" s="25" t="str">
        <f t="shared" ref="I1179:I1180" si="202">INT(H1179)</f>
        <v>#DIV/0!</v>
      </c>
      <c r="J1179" s="36" t="str">
        <f t="shared" ref="J1179:J1180" si="203">INT((H1179-I1179)*60)</f>
        <v>#DIV/0!</v>
      </c>
      <c r="P1179" s="19"/>
    </row>
    <row r="1180">
      <c r="A1180" s="44"/>
      <c r="B1180" s="45"/>
      <c r="C1180" s="46"/>
      <c r="D1180" s="47" t="s">
        <v>138</v>
      </c>
      <c r="E1180" s="45">
        <f t="shared" si="201"/>
        <v>-18181.81818</v>
      </c>
      <c r="F1180" s="45"/>
      <c r="G1180" s="48" t="s">
        <v>139</v>
      </c>
      <c r="H1180" s="45" t="str">
        <f>H1152-H1179</f>
        <v>#DIV/0!</v>
      </c>
      <c r="I1180" s="45" t="str">
        <f t="shared" si="202"/>
        <v>#DIV/0!</v>
      </c>
      <c r="J1180" s="49" t="str">
        <f t="shared" si="203"/>
        <v>#DIV/0!</v>
      </c>
      <c r="K1180" s="45"/>
      <c r="L1180" s="45"/>
      <c r="M1180" s="45"/>
      <c r="N1180" s="45"/>
      <c r="O1180" s="45"/>
      <c r="P1180" s="50"/>
    </row>
    <row r="1181">
      <c r="A1181" s="51"/>
      <c r="B1181" s="51"/>
      <c r="D1181" s="51"/>
    </row>
    <row r="1182">
      <c r="D1182" s="51"/>
      <c r="I1182" s="51"/>
    </row>
    <row r="1183">
      <c r="D1183" s="51"/>
      <c r="I1183" s="51"/>
    </row>
    <row r="1184">
      <c r="A1184" s="51"/>
      <c r="D1184" s="51"/>
      <c r="G1184" s="51"/>
    </row>
    <row r="1185">
      <c r="A1185" s="51"/>
      <c r="G1185" s="51"/>
    </row>
    <row r="1186">
      <c r="A1186" s="51"/>
      <c r="D1186" s="51"/>
      <c r="G1186" s="51"/>
    </row>
    <row r="1187">
      <c r="A1187" s="51"/>
      <c r="D1187" s="51"/>
      <c r="G1187" s="51"/>
    </row>
    <row r="1188">
      <c r="A1188" s="51"/>
      <c r="D1188" s="51"/>
      <c r="G1188" s="51"/>
    </row>
    <row r="1189">
      <c r="A1189" s="51"/>
      <c r="D1189" s="51"/>
      <c r="G1189" s="51"/>
    </row>
    <row r="1190">
      <c r="A1190" s="6" t="s">
        <v>70</v>
      </c>
      <c r="B1190" s="52"/>
      <c r="C1190" s="8"/>
      <c r="D1190" s="9" t="s">
        <v>71</v>
      </c>
      <c r="E1190" s="10"/>
      <c r="F1190" s="10"/>
      <c r="G1190" s="10"/>
      <c r="H1190" s="10"/>
      <c r="I1190" s="10"/>
      <c r="J1190" s="10"/>
      <c r="K1190" s="9"/>
      <c r="L1190" s="10"/>
      <c r="M1190" s="10"/>
      <c r="N1190" s="10"/>
      <c r="O1190" s="10"/>
      <c r="P1190" s="11"/>
    </row>
    <row r="1191">
      <c r="A1191" s="12" t="s">
        <v>72</v>
      </c>
      <c r="B1191" s="13">
        <v>1000000.0</v>
      </c>
      <c r="C1191" s="14"/>
      <c r="D1191" s="53" t="str">
        <f>B1190</f>
        <v/>
      </c>
      <c r="E1191" s="16" t="s">
        <v>73</v>
      </c>
      <c r="F1191" s="17"/>
      <c r="G1191" s="16" t="s">
        <v>74</v>
      </c>
      <c r="H1191" s="16" t="s">
        <v>75</v>
      </c>
      <c r="I1191" s="16" t="s">
        <v>76</v>
      </c>
      <c r="J1191" s="18" t="s">
        <v>77</v>
      </c>
      <c r="P1191" s="19"/>
    </row>
    <row r="1192">
      <c r="A1192" s="12" t="s">
        <v>78</v>
      </c>
      <c r="B1192" s="13">
        <v>1000000.0</v>
      </c>
      <c r="C1192" s="14"/>
      <c r="D1192" s="20" t="s">
        <v>72</v>
      </c>
      <c r="E1192" s="21">
        <f t="shared" ref="E1192:E1193" si="204">B1191</f>
        <v>1000000</v>
      </c>
      <c r="F1192" s="20" t="s">
        <v>79</v>
      </c>
      <c r="G1192" s="21">
        <f t="shared" ref="G1192:G1193" si="205">B1194</f>
        <v>4</v>
      </c>
      <c r="H1192" s="4">
        <f>G1192+(G1193/60)</f>
        <v>4.166666667</v>
      </c>
      <c r="I1192" s="21">
        <f>B1199</f>
        <v>6</v>
      </c>
      <c r="J1192" s="22" t="s">
        <v>80</v>
      </c>
      <c r="K1192" s="23">
        <f>B1201/B1202</f>
        <v>0</v>
      </c>
      <c r="P1192" s="19"/>
    </row>
    <row r="1193">
      <c r="A1193" s="12" t="s">
        <v>81</v>
      </c>
      <c r="B1193" s="14"/>
      <c r="C1193" s="14"/>
      <c r="D1193" s="20" t="s">
        <v>78</v>
      </c>
      <c r="E1193" s="21">
        <f t="shared" si="204"/>
        <v>1000000</v>
      </c>
      <c r="F1193" s="20" t="s">
        <v>82</v>
      </c>
      <c r="G1193" s="21">
        <f t="shared" si="205"/>
        <v>10</v>
      </c>
      <c r="J1193" s="22" t="s">
        <v>83</v>
      </c>
      <c r="K1193" s="23">
        <f>B1203/B1204</f>
        <v>0</v>
      </c>
      <c r="P1193" s="19"/>
    </row>
    <row r="1194">
      <c r="A1194" s="24" t="s">
        <v>79</v>
      </c>
      <c r="B1194" s="13">
        <v>4.0</v>
      </c>
      <c r="C1194" s="14"/>
      <c r="D1194" s="20" t="s">
        <v>84</v>
      </c>
      <c r="E1194" s="25">
        <f>E1192-E1193</f>
        <v>0</v>
      </c>
      <c r="F1194" s="26"/>
      <c r="G1194" s="16" t="s">
        <v>85</v>
      </c>
      <c r="H1194" s="16" t="s">
        <v>86</v>
      </c>
      <c r="I1194" s="16" t="s">
        <v>87</v>
      </c>
      <c r="J1194" s="22" t="s">
        <v>88</v>
      </c>
      <c r="K1194" s="23">
        <f>B1205/B1206</f>
        <v>0</v>
      </c>
      <c r="P1194" s="19"/>
    </row>
    <row r="1195">
      <c r="A1195" s="24" t="s">
        <v>89</v>
      </c>
      <c r="B1195" s="13">
        <v>10.0</v>
      </c>
      <c r="C1195" s="14"/>
      <c r="D1195" s="16" t="s">
        <v>90</v>
      </c>
      <c r="F1195" s="20" t="s">
        <v>79</v>
      </c>
      <c r="G1195" s="21">
        <f t="shared" ref="G1195:G1196" si="206">B1197</f>
        <v>4</v>
      </c>
      <c r="H1195" s="25">
        <f>G1195+(G1196/60)</f>
        <v>4.166666667</v>
      </c>
      <c r="I1195" s="25">
        <f>H1192-H1195</f>
        <v>0</v>
      </c>
      <c r="J1195" s="22" t="s">
        <v>91</v>
      </c>
      <c r="K1195" s="23">
        <f>B1207/B1208</f>
        <v>0</v>
      </c>
      <c r="P1195" s="19"/>
    </row>
    <row r="1196">
      <c r="A1196" s="12" t="s">
        <v>85</v>
      </c>
      <c r="B1196" s="27"/>
      <c r="C1196" s="14"/>
      <c r="D1196" s="28" t="s">
        <v>92</v>
      </c>
      <c r="E1196" s="25">
        <f>E1192/H1201</f>
        <v>218181.8182</v>
      </c>
      <c r="F1196" s="20" t="s">
        <v>82</v>
      </c>
      <c r="G1196" s="21">
        <f t="shared" si="206"/>
        <v>10</v>
      </c>
      <c r="J1196" s="22" t="s">
        <v>93</v>
      </c>
      <c r="K1196" s="23">
        <f>B1209/B1210</f>
        <v>0</v>
      </c>
      <c r="P1196" s="19"/>
    </row>
    <row r="1197">
      <c r="A1197" s="24" t="s">
        <v>79</v>
      </c>
      <c r="B1197" s="13">
        <v>4.0</v>
      </c>
      <c r="C1197" s="14"/>
      <c r="D1197" s="28" t="s">
        <v>94</v>
      </c>
      <c r="E1197" s="25">
        <f>E1192/I1192</f>
        <v>166666.6667</v>
      </c>
      <c r="J1197" s="22" t="s">
        <v>95</v>
      </c>
      <c r="K1197" s="23">
        <f>B1211/B1212</f>
        <v>0</v>
      </c>
      <c r="P1197" s="19"/>
    </row>
    <row r="1198">
      <c r="A1198" s="24" t="s">
        <v>89</v>
      </c>
      <c r="B1198" s="13">
        <v>10.0</v>
      </c>
      <c r="C1198" s="14"/>
      <c r="D1198" s="28" t="s">
        <v>96</v>
      </c>
      <c r="E1198" s="25">
        <f>E1196/I1192</f>
        <v>36363.63636</v>
      </c>
      <c r="J1198" s="29" t="s">
        <v>97</v>
      </c>
      <c r="K1198" s="30">
        <f>SUM(K1192:K1197)</f>
        <v>0</v>
      </c>
      <c r="P1198" s="19"/>
    </row>
    <row r="1199">
      <c r="A1199" s="12" t="s">
        <v>98</v>
      </c>
      <c r="B1199" s="13">
        <v>6.0</v>
      </c>
      <c r="C1199" s="14"/>
      <c r="D1199" s="28" t="s">
        <v>99</v>
      </c>
      <c r="E1199" s="31">
        <f>E1198/12</f>
        <v>3030.30303</v>
      </c>
      <c r="I1199" s="29"/>
      <c r="J1199" s="29" t="s">
        <v>100</v>
      </c>
      <c r="K1199" s="30">
        <f>H1209</f>
        <v>0</v>
      </c>
      <c r="P1199" s="19"/>
    </row>
    <row r="1200">
      <c r="A1200" s="32"/>
      <c r="B1200" s="14"/>
      <c r="C1200" s="14"/>
      <c r="D1200" s="28" t="s">
        <v>101</v>
      </c>
      <c r="E1200" s="25">
        <f>E1199*5</f>
        <v>15151.51515</v>
      </c>
      <c r="J1200" s="29" t="s">
        <v>102</v>
      </c>
      <c r="K1200" s="30">
        <f>E1201</f>
        <v>18181.81818</v>
      </c>
      <c r="P1200" s="19"/>
    </row>
    <row r="1201">
      <c r="A1201" s="33" t="s">
        <v>103</v>
      </c>
      <c r="B1201" s="34">
        <v>0.0</v>
      </c>
      <c r="C1201" s="14"/>
      <c r="D1201" s="28" t="s">
        <v>104</v>
      </c>
      <c r="E1201" s="25">
        <f>E1199*6</f>
        <v>18181.81818</v>
      </c>
      <c r="G1201" s="35" t="s">
        <v>105</v>
      </c>
      <c r="H1201" s="36">
        <f>H1192+(25/60)</f>
        <v>4.583333333</v>
      </c>
      <c r="J1201" s="29" t="s">
        <v>106</v>
      </c>
      <c r="K1201" s="30">
        <f>E1209</f>
        <v>20000</v>
      </c>
      <c r="P1201" s="19"/>
    </row>
    <row r="1202">
      <c r="A1202" s="37" t="s">
        <v>107</v>
      </c>
      <c r="B1202" s="38">
        <v>1.0</v>
      </c>
      <c r="C1202" s="14"/>
      <c r="G1202" s="35" t="s">
        <v>108</v>
      </c>
      <c r="H1202" s="36">
        <f>I1195+(25/60)</f>
        <v>0.4166666667</v>
      </c>
      <c r="I1202" s="39" t="s">
        <v>109</v>
      </c>
      <c r="P1202" s="19"/>
    </row>
    <row r="1203">
      <c r="A1203" s="40" t="s">
        <v>110</v>
      </c>
      <c r="B1203" s="13">
        <v>0.0</v>
      </c>
      <c r="C1203" s="14"/>
      <c r="D1203" s="16" t="s">
        <v>111</v>
      </c>
      <c r="G1203" s="16" t="s">
        <v>112</v>
      </c>
      <c r="H1203" s="36"/>
      <c r="I1203" s="39" t="s">
        <v>113</v>
      </c>
      <c r="P1203" s="19"/>
    </row>
    <row r="1204">
      <c r="A1204" s="37" t="s">
        <v>114</v>
      </c>
      <c r="B1204" s="38">
        <v>1.0</v>
      </c>
      <c r="C1204" s="14"/>
      <c r="D1204" s="28" t="s">
        <v>92</v>
      </c>
      <c r="E1204" s="25">
        <f>E1193/H1195</f>
        <v>240000</v>
      </c>
      <c r="G1204" s="28" t="s">
        <v>92</v>
      </c>
      <c r="H1204" s="36">
        <f>E1194/H1202</f>
        <v>0</v>
      </c>
      <c r="I1204" s="39" t="s">
        <v>115</v>
      </c>
      <c r="P1204" s="19"/>
    </row>
    <row r="1205">
      <c r="A1205" s="40" t="s">
        <v>116</v>
      </c>
      <c r="B1205" s="13">
        <v>0.0</v>
      </c>
      <c r="C1205" s="14"/>
      <c r="D1205" s="28" t="s">
        <v>94</v>
      </c>
      <c r="E1205" s="25">
        <f>E1193/I1192</f>
        <v>166666.6667</v>
      </c>
      <c r="G1205" s="28" t="s">
        <v>94</v>
      </c>
      <c r="H1205" s="36">
        <f>E1194/I1192</f>
        <v>0</v>
      </c>
      <c r="I1205" s="39" t="s">
        <v>117</v>
      </c>
      <c r="P1205" s="19"/>
    </row>
    <row r="1206">
      <c r="A1206" s="37" t="s">
        <v>118</v>
      </c>
      <c r="B1206" s="38">
        <v>1.0</v>
      </c>
      <c r="C1206" s="14"/>
      <c r="D1206" s="28" t="s">
        <v>96</v>
      </c>
      <c r="E1206" s="25">
        <f>E1205/H1195</f>
        <v>40000</v>
      </c>
      <c r="G1206" s="28" t="s">
        <v>96</v>
      </c>
      <c r="H1206" s="36">
        <f>H1205/H1202</f>
        <v>0</v>
      </c>
      <c r="P1206" s="19"/>
    </row>
    <row r="1207">
      <c r="A1207" s="40" t="s">
        <v>119</v>
      </c>
      <c r="B1207" s="13">
        <v>0.0</v>
      </c>
      <c r="C1207" s="14"/>
      <c r="D1207" s="28" t="s">
        <v>99</v>
      </c>
      <c r="E1207" s="25">
        <f>E1206/12</f>
        <v>3333.333333</v>
      </c>
      <c r="G1207" s="28" t="s">
        <v>99</v>
      </c>
      <c r="H1207" s="36">
        <f>H1206/12</f>
        <v>0</v>
      </c>
      <c r="P1207" s="19"/>
    </row>
    <row r="1208">
      <c r="A1208" s="37" t="s">
        <v>120</v>
      </c>
      <c r="B1208" s="38">
        <v>1.0</v>
      </c>
      <c r="C1208" s="14"/>
      <c r="D1208" s="28" t="s">
        <v>101</v>
      </c>
      <c r="E1208" s="25">
        <f>E1207*5</f>
        <v>16666.66667</v>
      </c>
      <c r="G1208" s="28" t="s">
        <v>101</v>
      </c>
      <c r="H1208" s="36">
        <f>H1207*5</f>
        <v>0</v>
      </c>
      <c r="P1208" s="19"/>
    </row>
    <row r="1209">
      <c r="A1209" s="40" t="s">
        <v>121</v>
      </c>
      <c r="B1209" s="13">
        <v>0.0</v>
      </c>
      <c r="C1209" s="14"/>
      <c r="D1209" s="28" t="s">
        <v>104</v>
      </c>
      <c r="E1209" s="25">
        <f>E1207*6</f>
        <v>20000</v>
      </c>
      <c r="G1209" s="28" t="s">
        <v>104</v>
      </c>
      <c r="H1209" s="36">
        <f>H1207*6</f>
        <v>0</v>
      </c>
      <c r="P1209" s="19"/>
    </row>
    <row r="1210">
      <c r="A1210" s="37" t="s">
        <v>122</v>
      </c>
      <c r="B1210" s="38">
        <v>1.0</v>
      </c>
      <c r="C1210" s="14"/>
      <c r="P1210" s="19"/>
    </row>
    <row r="1211">
      <c r="A1211" s="40" t="s">
        <v>123</v>
      </c>
      <c r="B1211" s="13">
        <v>0.0</v>
      </c>
      <c r="C1211" s="14"/>
      <c r="D1211" s="28" t="s">
        <v>124</v>
      </c>
      <c r="E1211" s="41"/>
      <c r="F1211" s="41"/>
      <c r="P1211" s="19"/>
    </row>
    <row r="1212">
      <c r="A1212" s="37" t="s">
        <v>125</v>
      </c>
      <c r="B1212" s="38">
        <v>1.0</v>
      </c>
      <c r="C1212" s="14"/>
      <c r="D1212" s="4" t="s">
        <v>126</v>
      </c>
      <c r="E1212" s="25">
        <f t="shared" ref="E1212:E1215" si="207">H1206-E1206</f>
        <v>-40000</v>
      </c>
      <c r="P1212" s="19"/>
    </row>
    <row r="1213">
      <c r="A1213" s="42" t="s">
        <v>127</v>
      </c>
      <c r="C1213" s="14"/>
      <c r="D1213" s="4" t="s">
        <v>128</v>
      </c>
      <c r="E1213" s="25">
        <f t="shared" si="207"/>
        <v>-3333.333333</v>
      </c>
      <c r="P1213" s="19"/>
    </row>
    <row r="1214">
      <c r="A1214" s="32"/>
      <c r="C1214" s="14"/>
      <c r="D1214" s="4" t="s">
        <v>129</v>
      </c>
      <c r="E1214" s="25">
        <f t="shared" si="207"/>
        <v>-16666.66667</v>
      </c>
      <c r="G1214" s="43"/>
      <c r="P1214" s="19"/>
    </row>
    <row r="1215">
      <c r="A1215" s="32"/>
      <c r="C1215" s="14"/>
      <c r="D1215" s="4" t="s">
        <v>130</v>
      </c>
      <c r="E1215" s="25">
        <f t="shared" si="207"/>
        <v>-20000</v>
      </c>
      <c r="P1215" s="19"/>
    </row>
    <row r="1216">
      <c r="A1216" s="24"/>
      <c r="C1216" s="14"/>
      <c r="D1216" s="28" t="s">
        <v>131</v>
      </c>
      <c r="P1216" s="19"/>
    </row>
    <row r="1217">
      <c r="A1217" s="32"/>
      <c r="C1217" s="14"/>
      <c r="D1217" s="4" t="s">
        <v>132</v>
      </c>
      <c r="E1217" s="25">
        <f t="shared" ref="E1217:E1220" si="208">H1206-E1198</f>
        <v>-36363.63636</v>
      </c>
      <c r="P1217" s="19"/>
    </row>
    <row r="1218">
      <c r="A1218" s="32"/>
      <c r="C1218" s="14"/>
      <c r="D1218" s="4" t="s">
        <v>133</v>
      </c>
      <c r="E1218" s="25">
        <f t="shared" si="208"/>
        <v>-3030.30303</v>
      </c>
      <c r="G1218" s="28" t="s">
        <v>134</v>
      </c>
      <c r="I1218" s="35" t="s">
        <v>135</v>
      </c>
      <c r="J1218" s="35" t="s">
        <v>82</v>
      </c>
      <c r="P1218" s="19"/>
    </row>
    <row r="1219">
      <c r="A1219" s="32"/>
      <c r="C1219" s="14"/>
      <c r="D1219" s="4" t="s">
        <v>136</v>
      </c>
      <c r="E1219" s="25">
        <f t="shared" si="208"/>
        <v>-15151.51515</v>
      </c>
      <c r="G1219" s="35" t="s">
        <v>137</v>
      </c>
      <c r="H1219" s="25" t="str">
        <f>(E1192/H1204)-(25/60)</f>
        <v>#DIV/0!</v>
      </c>
      <c r="I1219" s="25" t="str">
        <f t="shared" ref="I1219:I1220" si="209">INT(H1219)</f>
        <v>#DIV/0!</v>
      </c>
      <c r="J1219" s="36" t="str">
        <f t="shared" ref="J1219:J1220" si="210">INT((H1219-I1219)*60)</f>
        <v>#DIV/0!</v>
      </c>
      <c r="P1219" s="19"/>
    </row>
    <row r="1220">
      <c r="A1220" s="44"/>
      <c r="B1220" s="45"/>
      <c r="C1220" s="46"/>
      <c r="D1220" s="47" t="s">
        <v>138</v>
      </c>
      <c r="E1220" s="45">
        <f t="shared" si="208"/>
        <v>-18181.81818</v>
      </c>
      <c r="F1220" s="45"/>
      <c r="G1220" s="48" t="s">
        <v>139</v>
      </c>
      <c r="H1220" s="45" t="str">
        <f>H1192-H1219</f>
        <v>#DIV/0!</v>
      </c>
      <c r="I1220" s="45" t="str">
        <f t="shared" si="209"/>
        <v>#DIV/0!</v>
      </c>
      <c r="J1220" s="49" t="str">
        <f t="shared" si="210"/>
        <v>#DIV/0!</v>
      </c>
      <c r="K1220" s="45"/>
      <c r="L1220" s="45"/>
      <c r="M1220" s="45"/>
      <c r="N1220" s="45"/>
      <c r="O1220" s="45"/>
      <c r="P1220" s="50"/>
    </row>
    <row r="1221">
      <c r="C1221" s="14"/>
      <c r="D1221" s="4"/>
      <c r="G1221" s="54"/>
      <c r="J1221" s="36"/>
    </row>
    <row r="1222">
      <c r="C1222" s="14"/>
      <c r="D1222" s="4"/>
      <c r="G1222" s="54"/>
      <c r="J1222" s="36"/>
    </row>
    <row r="1223">
      <c r="C1223" s="14"/>
      <c r="D1223" s="4"/>
      <c r="G1223" s="54"/>
      <c r="J1223" s="36"/>
    </row>
    <row r="1224">
      <c r="C1224" s="14"/>
      <c r="D1224" s="4"/>
      <c r="G1224" s="54"/>
      <c r="J1224" s="36"/>
    </row>
    <row r="1225">
      <c r="C1225" s="14"/>
      <c r="D1225" s="4"/>
      <c r="G1225" s="54"/>
      <c r="J1225" s="36"/>
    </row>
    <row r="1226">
      <c r="C1226" s="14"/>
      <c r="D1226" s="4"/>
      <c r="G1226" s="54"/>
      <c r="J1226" s="36"/>
    </row>
    <row r="1227">
      <c r="C1227" s="14"/>
      <c r="D1227" s="4"/>
      <c r="G1227" s="54"/>
      <c r="J1227" s="36"/>
    </row>
    <row r="1228">
      <c r="C1228" s="14"/>
      <c r="D1228" s="4"/>
      <c r="G1228" s="54"/>
      <c r="J1228" s="36"/>
    </row>
    <row r="1229">
      <c r="C1229" s="14"/>
      <c r="D1229" s="4"/>
      <c r="G1229" s="54"/>
      <c r="J1229" s="36"/>
    </row>
    <row r="1230">
      <c r="A1230" s="6" t="s">
        <v>70</v>
      </c>
      <c r="B1230" s="52"/>
      <c r="C1230" s="8"/>
      <c r="D1230" s="9" t="s">
        <v>71</v>
      </c>
      <c r="E1230" s="10"/>
      <c r="F1230" s="10"/>
      <c r="G1230" s="10"/>
      <c r="H1230" s="10"/>
      <c r="I1230" s="10"/>
      <c r="J1230" s="10"/>
      <c r="K1230" s="9"/>
      <c r="L1230" s="10"/>
      <c r="M1230" s="10"/>
      <c r="N1230" s="10"/>
      <c r="O1230" s="10"/>
      <c r="P1230" s="11"/>
    </row>
    <row r="1231">
      <c r="A1231" s="12" t="s">
        <v>72</v>
      </c>
      <c r="B1231" s="13">
        <v>1000000.0</v>
      </c>
      <c r="C1231" s="14"/>
      <c r="D1231" s="53" t="str">
        <f>B1230</f>
        <v/>
      </c>
      <c r="E1231" s="16" t="s">
        <v>73</v>
      </c>
      <c r="F1231" s="17"/>
      <c r="G1231" s="16" t="s">
        <v>74</v>
      </c>
      <c r="H1231" s="16" t="s">
        <v>75</v>
      </c>
      <c r="I1231" s="16" t="s">
        <v>76</v>
      </c>
      <c r="J1231" s="18" t="s">
        <v>77</v>
      </c>
      <c r="P1231" s="19"/>
    </row>
    <row r="1232">
      <c r="A1232" s="12" t="s">
        <v>78</v>
      </c>
      <c r="B1232" s="13">
        <v>1000000.0</v>
      </c>
      <c r="C1232" s="14"/>
      <c r="D1232" s="20" t="s">
        <v>72</v>
      </c>
      <c r="E1232" s="21">
        <f t="shared" ref="E1232:E1233" si="211">B1231</f>
        <v>1000000</v>
      </c>
      <c r="F1232" s="20" t="s">
        <v>79</v>
      </c>
      <c r="G1232" s="21">
        <f t="shared" ref="G1232:G1233" si="212">B1234</f>
        <v>4</v>
      </c>
      <c r="H1232" s="4">
        <f>G1232+(G1233/60)</f>
        <v>4.166666667</v>
      </c>
      <c r="I1232" s="21">
        <f>B1239</f>
        <v>6</v>
      </c>
      <c r="J1232" s="22" t="s">
        <v>80</v>
      </c>
      <c r="K1232" s="23">
        <f>B1241/B1242</f>
        <v>0</v>
      </c>
      <c r="P1232" s="19"/>
    </row>
    <row r="1233">
      <c r="A1233" s="12" t="s">
        <v>81</v>
      </c>
      <c r="B1233" s="14"/>
      <c r="C1233" s="14"/>
      <c r="D1233" s="20" t="s">
        <v>78</v>
      </c>
      <c r="E1233" s="21">
        <f t="shared" si="211"/>
        <v>1000000</v>
      </c>
      <c r="F1233" s="20" t="s">
        <v>82</v>
      </c>
      <c r="G1233" s="21">
        <f t="shared" si="212"/>
        <v>10</v>
      </c>
      <c r="J1233" s="22" t="s">
        <v>83</v>
      </c>
      <c r="K1233" s="23">
        <f>B1243/B1244</f>
        <v>0</v>
      </c>
      <c r="P1233" s="19"/>
    </row>
    <row r="1234">
      <c r="A1234" s="24" t="s">
        <v>79</v>
      </c>
      <c r="B1234" s="13">
        <v>4.0</v>
      </c>
      <c r="C1234" s="14"/>
      <c r="D1234" s="20" t="s">
        <v>84</v>
      </c>
      <c r="E1234" s="25">
        <f>E1232-E1233</f>
        <v>0</v>
      </c>
      <c r="F1234" s="26"/>
      <c r="G1234" s="16" t="s">
        <v>85</v>
      </c>
      <c r="H1234" s="16" t="s">
        <v>86</v>
      </c>
      <c r="I1234" s="16" t="s">
        <v>87</v>
      </c>
      <c r="J1234" s="22" t="s">
        <v>88</v>
      </c>
      <c r="K1234" s="23">
        <f>B1245/B1246</f>
        <v>0</v>
      </c>
      <c r="P1234" s="19"/>
    </row>
    <row r="1235">
      <c r="A1235" s="24" t="s">
        <v>89</v>
      </c>
      <c r="B1235" s="13">
        <v>10.0</v>
      </c>
      <c r="C1235" s="14"/>
      <c r="D1235" s="16" t="s">
        <v>90</v>
      </c>
      <c r="F1235" s="20" t="s">
        <v>79</v>
      </c>
      <c r="G1235" s="21">
        <f t="shared" ref="G1235:G1236" si="213">B1237</f>
        <v>4</v>
      </c>
      <c r="H1235" s="25">
        <f>G1235+(G1236/60)</f>
        <v>4.166666667</v>
      </c>
      <c r="I1235" s="25">
        <f>H1232-H1235</f>
        <v>0</v>
      </c>
      <c r="J1235" s="22" t="s">
        <v>91</v>
      </c>
      <c r="K1235" s="23">
        <f>B1247/B1248</f>
        <v>0</v>
      </c>
      <c r="P1235" s="19"/>
    </row>
    <row r="1236">
      <c r="A1236" s="12" t="s">
        <v>85</v>
      </c>
      <c r="B1236" s="27"/>
      <c r="C1236" s="14"/>
      <c r="D1236" s="28" t="s">
        <v>92</v>
      </c>
      <c r="E1236" s="25">
        <f>E1232/H1241</f>
        <v>218181.8182</v>
      </c>
      <c r="F1236" s="20" t="s">
        <v>82</v>
      </c>
      <c r="G1236" s="21">
        <f t="shared" si="213"/>
        <v>10</v>
      </c>
      <c r="J1236" s="22" t="s">
        <v>93</v>
      </c>
      <c r="K1236" s="23">
        <f>B1249/B1250</f>
        <v>0</v>
      </c>
      <c r="P1236" s="19"/>
    </row>
    <row r="1237">
      <c r="A1237" s="24" t="s">
        <v>79</v>
      </c>
      <c r="B1237" s="13">
        <v>4.0</v>
      </c>
      <c r="C1237" s="14"/>
      <c r="D1237" s="28" t="s">
        <v>94</v>
      </c>
      <c r="E1237" s="25">
        <f>E1232/I1232</f>
        <v>166666.6667</v>
      </c>
      <c r="J1237" s="22" t="s">
        <v>95</v>
      </c>
      <c r="K1237" s="23">
        <f>B1251/B1252</f>
        <v>0</v>
      </c>
      <c r="P1237" s="19"/>
    </row>
    <row r="1238">
      <c r="A1238" s="24" t="s">
        <v>89</v>
      </c>
      <c r="B1238" s="13">
        <v>10.0</v>
      </c>
      <c r="C1238" s="14"/>
      <c r="D1238" s="28" t="s">
        <v>96</v>
      </c>
      <c r="E1238" s="25">
        <f>E1236/I1232</f>
        <v>36363.63636</v>
      </c>
      <c r="J1238" s="29" t="s">
        <v>97</v>
      </c>
      <c r="K1238" s="30">
        <f>SUM(K1232:K1237)</f>
        <v>0</v>
      </c>
      <c r="P1238" s="19"/>
    </row>
    <row r="1239">
      <c r="A1239" s="12" t="s">
        <v>98</v>
      </c>
      <c r="B1239" s="13">
        <v>6.0</v>
      </c>
      <c r="C1239" s="14"/>
      <c r="D1239" s="28" t="s">
        <v>99</v>
      </c>
      <c r="E1239" s="31">
        <f>E1238/12</f>
        <v>3030.30303</v>
      </c>
      <c r="I1239" s="29"/>
      <c r="J1239" s="29" t="s">
        <v>100</v>
      </c>
      <c r="K1239" s="30">
        <f>H1249</f>
        <v>0</v>
      </c>
      <c r="P1239" s="19"/>
    </row>
    <row r="1240">
      <c r="A1240" s="32"/>
      <c r="B1240" s="14"/>
      <c r="C1240" s="14"/>
      <c r="D1240" s="28" t="s">
        <v>101</v>
      </c>
      <c r="E1240" s="25">
        <f>E1239*5</f>
        <v>15151.51515</v>
      </c>
      <c r="J1240" s="29" t="s">
        <v>102</v>
      </c>
      <c r="K1240" s="30">
        <f>E1241</f>
        <v>18181.81818</v>
      </c>
      <c r="P1240" s="19"/>
    </row>
    <row r="1241">
      <c r="A1241" s="33" t="s">
        <v>103</v>
      </c>
      <c r="B1241" s="34">
        <v>0.0</v>
      </c>
      <c r="C1241" s="14"/>
      <c r="D1241" s="28" t="s">
        <v>104</v>
      </c>
      <c r="E1241" s="25">
        <f>E1239*6</f>
        <v>18181.81818</v>
      </c>
      <c r="G1241" s="35" t="s">
        <v>105</v>
      </c>
      <c r="H1241" s="36">
        <f>H1232+(25/60)</f>
        <v>4.583333333</v>
      </c>
      <c r="J1241" s="29" t="s">
        <v>106</v>
      </c>
      <c r="K1241" s="30">
        <f>E1249</f>
        <v>20000</v>
      </c>
      <c r="P1241" s="19"/>
    </row>
    <row r="1242">
      <c r="A1242" s="37" t="s">
        <v>107</v>
      </c>
      <c r="B1242" s="38">
        <v>1.0</v>
      </c>
      <c r="C1242" s="14"/>
      <c r="G1242" s="35" t="s">
        <v>108</v>
      </c>
      <c r="H1242" s="36">
        <f>I1235+(25/60)</f>
        <v>0.4166666667</v>
      </c>
      <c r="I1242" s="39" t="s">
        <v>109</v>
      </c>
      <c r="P1242" s="19"/>
    </row>
    <row r="1243">
      <c r="A1243" s="40" t="s">
        <v>110</v>
      </c>
      <c r="B1243" s="13">
        <v>0.0</v>
      </c>
      <c r="C1243" s="14"/>
      <c r="D1243" s="16" t="s">
        <v>111</v>
      </c>
      <c r="G1243" s="16" t="s">
        <v>112</v>
      </c>
      <c r="H1243" s="36"/>
      <c r="I1243" s="39" t="s">
        <v>113</v>
      </c>
      <c r="P1243" s="19"/>
    </row>
    <row r="1244">
      <c r="A1244" s="37" t="s">
        <v>114</v>
      </c>
      <c r="B1244" s="38">
        <v>1.0</v>
      </c>
      <c r="C1244" s="14"/>
      <c r="D1244" s="28" t="s">
        <v>92</v>
      </c>
      <c r="E1244" s="25">
        <f>E1233/H1235</f>
        <v>240000</v>
      </c>
      <c r="G1244" s="28" t="s">
        <v>92</v>
      </c>
      <c r="H1244" s="36">
        <f>E1234/H1242</f>
        <v>0</v>
      </c>
      <c r="I1244" s="39" t="s">
        <v>115</v>
      </c>
      <c r="P1244" s="19"/>
    </row>
    <row r="1245">
      <c r="A1245" s="40" t="s">
        <v>116</v>
      </c>
      <c r="B1245" s="13">
        <v>0.0</v>
      </c>
      <c r="C1245" s="14"/>
      <c r="D1245" s="28" t="s">
        <v>94</v>
      </c>
      <c r="E1245" s="25">
        <f>E1233/I1232</f>
        <v>166666.6667</v>
      </c>
      <c r="G1245" s="28" t="s">
        <v>94</v>
      </c>
      <c r="H1245" s="36">
        <f>E1234/I1232</f>
        <v>0</v>
      </c>
      <c r="I1245" s="39" t="s">
        <v>117</v>
      </c>
      <c r="P1245" s="19"/>
    </row>
    <row r="1246">
      <c r="A1246" s="37" t="s">
        <v>118</v>
      </c>
      <c r="B1246" s="38">
        <v>1.0</v>
      </c>
      <c r="C1246" s="14"/>
      <c r="D1246" s="28" t="s">
        <v>96</v>
      </c>
      <c r="E1246" s="25">
        <f>E1245/H1235</f>
        <v>40000</v>
      </c>
      <c r="G1246" s="28" t="s">
        <v>96</v>
      </c>
      <c r="H1246" s="36">
        <f>H1245/H1242</f>
        <v>0</v>
      </c>
      <c r="P1246" s="19"/>
    </row>
    <row r="1247">
      <c r="A1247" s="40" t="s">
        <v>119</v>
      </c>
      <c r="B1247" s="13">
        <v>0.0</v>
      </c>
      <c r="C1247" s="14"/>
      <c r="D1247" s="28" t="s">
        <v>99</v>
      </c>
      <c r="E1247" s="25">
        <f>E1246/12</f>
        <v>3333.333333</v>
      </c>
      <c r="G1247" s="28" t="s">
        <v>99</v>
      </c>
      <c r="H1247" s="36">
        <f>H1246/12</f>
        <v>0</v>
      </c>
      <c r="P1247" s="19"/>
    </row>
    <row r="1248">
      <c r="A1248" s="37" t="s">
        <v>120</v>
      </c>
      <c r="B1248" s="38">
        <v>1.0</v>
      </c>
      <c r="C1248" s="14"/>
      <c r="D1248" s="28" t="s">
        <v>101</v>
      </c>
      <c r="E1248" s="25">
        <f>E1247*5</f>
        <v>16666.66667</v>
      </c>
      <c r="G1248" s="28" t="s">
        <v>101</v>
      </c>
      <c r="H1248" s="36">
        <f>H1247*5</f>
        <v>0</v>
      </c>
      <c r="P1248" s="19"/>
    </row>
    <row r="1249">
      <c r="A1249" s="40" t="s">
        <v>121</v>
      </c>
      <c r="B1249" s="13">
        <v>0.0</v>
      </c>
      <c r="C1249" s="14"/>
      <c r="D1249" s="28" t="s">
        <v>104</v>
      </c>
      <c r="E1249" s="25">
        <f>E1247*6</f>
        <v>20000</v>
      </c>
      <c r="G1249" s="28" t="s">
        <v>104</v>
      </c>
      <c r="H1249" s="36">
        <f>H1247*6</f>
        <v>0</v>
      </c>
      <c r="P1249" s="19"/>
    </row>
    <row r="1250">
      <c r="A1250" s="37" t="s">
        <v>122</v>
      </c>
      <c r="B1250" s="38">
        <v>1.0</v>
      </c>
      <c r="C1250" s="14"/>
      <c r="P1250" s="19"/>
    </row>
    <row r="1251">
      <c r="A1251" s="40" t="s">
        <v>123</v>
      </c>
      <c r="B1251" s="13">
        <v>0.0</v>
      </c>
      <c r="C1251" s="14"/>
      <c r="D1251" s="28" t="s">
        <v>124</v>
      </c>
      <c r="E1251" s="41"/>
      <c r="F1251" s="41"/>
      <c r="P1251" s="19"/>
    </row>
    <row r="1252">
      <c r="A1252" s="37" t="s">
        <v>125</v>
      </c>
      <c r="B1252" s="38">
        <v>1.0</v>
      </c>
      <c r="C1252" s="14"/>
      <c r="D1252" s="4" t="s">
        <v>126</v>
      </c>
      <c r="E1252" s="25">
        <f t="shared" ref="E1252:E1255" si="214">H1246-E1246</f>
        <v>-40000</v>
      </c>
      <c r="P1252" s="19"/>
    </row>
    <row r="1253">
      <c r="A1253" s="42" t="s">
        <v>127</v>
      </c>
      <c r="C1253" s="14"/>
      <c r="D1253" s="4" t="s">
        <v>128</v>
      </c>
      <c r="E1253" s="25">
        <f t="shared" si="214"/>
        <v>-3333.333333</v>
      </c>
      <c r="P1253" s="19"/>
    </row>
    <row r="1254">
      <c r="A1254" s="32"/>
      <c r="C1254" s="14"/>
      <c r="D1254" s="4" t="s">
        <v>129</v>
      </c>
      <c r="E1254" s="25">
        <f t="shared" si="214"/>
        <v>-16666.66667</v>
      </c>
      <c r="G1254" s="43"/>
      <c r="P1254" s="19"/>
    </row>
    <row r="1255">
      <c r="A1255" s="32"/>
      <c r="C1255" s="14"/>
      <c r="D1255" s="4" t="s">
        <v>130</v>
      </c>
      <c r="E1255" s="25">
        <f t="shared" si="214"/>
        <v>-20000</v>
      </c>
      <c r="P1255" s="19"/>
    </row>
    <row r="1256">
      <c r="A1256" s="24"/>
      <c r="C1256" s="14"/>
      <c r="D1256" s="28" t="s">
        <v>131</v>
      </c>
      <c r="P1256" s="19"/>
    </row>
    <row r="1257">
      <c r="A1257" s="32"/>
      <c r="C1257" s="14"/>
      <c r="D1257" s="4" t="s">
        <v>132</v>
      </c>
      <c r="E1257" s="25">
        <f t="shared" ref="E1257:E1260" si="215">H1246-E1238</f>
        <v>-36363.63636</v>
      </c>
      <c r="P1257" s="19"/>
    </row>
    <row r="1258">
      <c r="A1258" s="32"/>
      <c r="C1258" s="14"/>
      <c r="D1258" s="4" t="s">
        <v>133</v>
      </c>
      <c r="E1258" s="25">
        <f t="shared" si="215"/>
        <v>-3030.30303</v>
      </c>
      <c r="G1258" s="28" t="s">
        <v>134</v>
      </c>
      <c r="I1258" s="35" t="s">
        <v>135</v>
      </c>
      <c r="J1258" s="35" t="s">
        <v>82</v>
      </c>
      <c r="P1258" s="19"/>
    </row>
    <row r="1259">
      <c r="A1259" s="32"/>
      <c r="C1259" s="14"/>
      <c r="D1259" s="4" t="s">
        <v>136</v>
      </c>
      <c r="E1259" s="25">
        <f t="shared" si="215"/>
        <v>-15151.51515</v>
      </c>
      <c r="G1259" s="35" t="s">
        <v>137</v>
      </c>
      <c r="H1259" s="25" t="str">
        <f>(E1232/H1244)-(25/60)</f>
        <v>#DIV/0!</v>
      </c>
      <c r="I1259" s="25" t="str">
        <f t="shared" ref="I1259:I1260" si="216">INT(H1259)</f>
        <v>#DIV/0!</v>
      </c>
      <c r="J1259" s="36" t="str">
        <f t="shared" ref="J1259:J1260" si="217">INT((H1259-I1259)*60)</f>
        <v>#DIV/0!</v>
      </c>
      <c r="P1259" s="19"/>
    </row>
    <row r="1260">
      <c r="A1260" s="44"/>
      <c r="B1260" s="45"/>
      <c r="C1260" s="46"/>
      <c r="D1260" s="47" t="s">
        <v>138</v>
      </c>
      <c r="E1260" s="45">
        <f t="shared" si="215"/>
        <v>-18181.81818</v>
      </c>
      <c r="F1260" s="45"/>
      <c r="G1260" s="48" t="s">
        <v>139</v>
      </c>
      <c r="H1260" s="45" t="str">
        <f>H1232-H1259</f>
        <v>#DIV/0!</v>
      </c>
      <c r="I1260" s="45" t="str">
        <f t="shared" si="216"/>
        <v>#DIV/0!</v>
      </c>
      <c r="J1260" s="49" t="str">
        <f t="shared" si="217"/>
        <v>#DIV/0!</v>
      </c>
      <c r="K1260" s="45"/>
      <c r="L1260" s="45"/>
      <c r="M1260" s="45"/>
      <c r="N1260" s="45"/>
      <c r="O1260" s="45"/>
      <c r="P1260" s="50"/>
    </row>
    <row r="1261">
      <c r="A1261" s="51"/>
      <c r="B1261" s="51"/>
      <c r="D1261" s="51"/>
    </row>
    <row r="1262">
      <c r="D1262" s="51"/>
      <c r="I1262" s="51"/>
    </row>
    <row r="1263">
      <c r="D1263" s="51"/>
      <c r="I1263" s="51"/>
    </row>
    <row r="1264">
      <c r="A1264" s="51"/>
      <c r="D1264" s="51"/>
      <c r="G1264" s="51"/>
    </row>
    <row r="1265">
      <c r="A1265" s="51"/>
      <c r="G1265" s="51"/>
    </row>
    <row r="1266">
      <c r="A1266" s="51"/>
      <c r="D1266" s="51"/>
      <c r="G1266" s="51"/>
    </row>
    <row r="1267">
      <c r="A1267" s="51"/>
      <c r="D1267" s="51"/>
      <c r="G1267" s="51"/>
    </row>
    <row r="1268">
      <c r="A1268" s="51"/>
      <c r="D1268" s="51"/>
      <c r="G1268" s="51"/>
    </row>
    <row r="1269">
      <c r="A1269" s="51"/>
      <c r="D1269" s="51"/>
      <c r="G1269" s="51"/>
    </row>
    <row r="1270">
      <c r="A1270" s="6" t="s">
        <v>70</v>
      </c>
      <c r="B1270" s="52"/>
      <c r="C1270" s="8"/>
      <c r="D1270" s="9" t="s">
        <v>71</v>
      </c>
      <c r="E1270" s="10"/>
      <c r="F1270" s="10"/>
      <c r="G1270" s="10"/>
      <c r="H1270" s="10"/>
      <c r="I1270" s="10"/>
      <c r="J1270" s="10"/>
      <c r="K1270" s="9"/>
      <c r="L1270" s="10"/>
      <c r="M1270" s="10"/>
      <c r="N1270" s="10"/>
      <c r="O1270" s="10"/>
      <c r="P1270" s="11"/>
    </row>
    <row r="1271">
      <c r="A1271" s="12" t="s">
        <v>72</v>
      </c>
      <c r="B1271" s="13">
        <v>1000000.0</v>
      </c>
      <c r="C1271" s="14"/>
      <c r="D1271" s="53" t="str">
        <f>B1270</f>
        <v/>
      </c>
      <c r="E1271" s="16" t="s">
        <v>73</v>
      </c>
      <c r="F1271" s="17"/>
      <c r="G1271" s="16" t="s">
        <v>74</v>
      </c>
      <c r="H1271" s="16" t="s">
        <v>75</v>
      </c>
      <c r="I1271" s="16" t="s">
        <v>76</v>
      </c>
      <c r="J1271" s="18" t="s">
        <v>77</v>
      </c>
      <c r="P1271" s="19"/>
    </row>
    <row r="1272">
      <c r="A1272" s="12" t="s">
        <v>78</v>
      </c>
      <c r="B1272" s="13">
        <v>1000000.0</v>
      </c>
      <c r="C1272" s="14"/>
      <c r="D1272" s="20" t="s">
        <v>72</v>
      </c>
      <c r="E1272" s="21">
        <f t="shared" ref="E1272:E1273" si="218">B1271</f>
        <v>1000000</v>
      </c>
      <c r="F1272" s="20" t="s">
        <v>79</v>
      </c>
      <c r="G1272" s="21">
        <f t="shared" ref="G1272:G1273" si="219">B1274</f>
        <v>4</v>
      </c>
      <c r="H1272" s="4">
        <f>G1272+(G1273/60)</f>
        <v>4.166666667</v>
      </c>
      <c r="I1272" s="21">
        <f>B1279</f>
        <v>6</v>
      </c>
      <c r="J1272" s="22" t="s">
        <v>80</v>
      </c>
      <c r="K1272" s="23">
        <f>B1281/B1282</f>
        <v>0</v>
      </c>
      <c r="P1272" s="19"/>
    </row>
    <row r="1273">
      <c r="A1273" s="12" t="s">
        <v>81</v>
      </c>
      <c r="B1273" s="14"/>
      <c r="C1273" s="14"/>
      <c r="D1273" s="20" t="s">
        <v>78</v>
      </c>
      <c r="E1273" s="21">
        <f t="shared" si="218"/>
        <v>1000000</v>
      </c>
      <c r="F1273" s="20" t="s">
        <v>82</v>
      </c>
      <c r="G1273" s="21">
        <f t="shared" si="219"/>
        <v>10</v>
      </c>
      <c r="J1273" s="22" t="s">
        <v>83</v>
      </c>
      <c r="K1273" s="23">
        <f>B1283/B1284</f>
        <v>0</v>
      </c>
      <c r="P1273" s="19"/>
    </row>
    <row r="1274">
      <c r="A1274" s="24" t="s">
        <v>79</v>
      </c>
      <c r="B1274" s="13">
        <v>4.0</v>
      </c>
      <c r="C1274" s="14"/>
      <c r="D1274" s="20" t="s">
        <v>84</v>
      </c>
      <c r="E1274" s="25">
        <f>E1272-E1273</f>
        <v>0</v>
      </c>
      <c r="F1274" s="26"/>
      <c r="G1274" s="16" t="s">
        <v>85</v>
      </c>
      <c r="H1274" s="16" t="s">
        <v>86</v>
      </c>
      <c r="I1274" s="16" t="s">
        <v>87</v>
      </c>
      <c r="J1274" s="22" t="s">
        <v>88</v>
      </c>
      <c r="K1274" s="23">
        <f>B1285/B1286</f>
        <v>0</v>
      </c>
      <c r="P1274" s="19"/>
    </row>
    <row r="1275">
      <c r="A1275" s="24" t="s">
        <v>89</v>
      </c>
      <c r="B1275" s="13">
        <v>10.0</v>
      </c>
      <c r="C1275" s="14"/>
      <c r="D1275" s="16" t="s">
        <v>90</v>
      </c>
      <c r="F1275" s="20" t="s">
        <v>79</v>
      </c>
      <c r="G1275" s="21">
        <f t="shared" ref="G1275:G1276" si="220">B1277</f>
        <v>4</v>
      </c>
      <c r="H1275" s="25">
        <f>G1275+(G1276/60)</f>
        <v>4.166666667</v>
      </c>
      <c r="I1275" s="25">
        <f>H1272-H1275</f>
        <v>0</v>
      </c>
      <c r="J1275" s="22" t="s">
        <v>91</v>
      </c>
      <c r="K1275" s="23">
        <f>B1287/B1288</f>
        <v>0</v>
      </c>
      <c r="P1275" s="19"/>
    </row>
    <row r="1276">
      <c r="A1276" s="12" t="s">
        <v>85</v>
      </c>
      <c r="B1276" s="27"/>
      <c r="C1276" s="14"/>
      <c r="D1276" s="28" t="s">
        <v>92</v>
      </c>
      <c r="E1276" s="25">
        <f>E1272/H1281</f>
        <v>218181.8182</v>
      </c>
      <c r="F1276" s="20" t="s">
        <v>82</v>
      </c>
      <c r="G1276" s="21">
        <f t="shared" si="220"/>
        <v>10</v>
      </c>
      <c r="J1276" s="22" t="s">
        <v>93</v>
      </c>
      <c r="K1276" s="23">
        <f>B1289/B1290</f>
        <v>0</v>
      </c>
      <c r="P1276" s="19"/>
    </row>
    <row r="1277">
      <c r="A1277" s="24" t="s">
        <v>79</v>
      </c>
      <c r="B1277" s="13">
        <v>4.0</v>
      </c>
      <c r="C1277" s="14"/>
      <c r="D1277" s="28" t="s">
        <v>94</v>
      </c>
      <c r="E1277" s="25">
        <f>E1272/I1272</f>
        <v>166666.6667</v>
      </c>
      <c r="J1277" s="22" t="s">
        <v>95</v>
      </c>
      <c r="K1277" s="23">
        <f>B1291/B1292</f>
        <v>0</v>
      </c>
      <c r="P1277" s="19"/>
    </row>
    <row r="1278">
      <c r="A1278" s="24" t="s">
        <v>89</v>
      </c>
      <c r="B1278" s="13">
        <v>10.0</v>
      </c>
      <c r="C1278" s="14"/>
      <c r="D1278" s="28" t="s">
        <v>96</v>
      </c>
      <c r="E1278" s="25">
        <f>E1276/I1272</f>
        <v>36363.63636</v>
      </c>
      <c r="J1278" s="29" t="s">
        <v>97</v>
      </c>
      <c r="K1278" s="30">
        <f>SUM(K1272:K1277)</f>
        <v>0</v>
      </c>
      <c r="P1278" s="19"/>
    </row>
    <row r="1279">
      <c r="A1279" s="12" t="s">
        <v>98</v>
      </c>
      <c r="B1279" s="13">
        <v>6.0</v>
      </c>
      <c r="C1279" s="14"/>
      <c r="D1279" s="28" t="s">
        <v>99</v>
      </c>
      <c r="E1279" s="31">
        <f>E1278/12</f>
        <v>3030.30303</v>
      </c>
      <c r="I1279" s="29"/>
      <c r="J1279" s="29" t="s">
        <v>100</v>
      </c>
      <c r="K1279" s="30">
        <f>H1289</f>
        <v>0</v>
      </c>
      <c r="P1279" s="19"/>
    </row>
    <row r="1280">
      <c r="A1280" s="32"/>
      <c r="B1280" s="14"/>
      <c r="C1280" s="14"/>
      <c r="D1280" s="28" t="s">
        <v>101</v>
      </c>
      <c r="E1280" s="25">
        <f>E1279*5</f>
        <v>15151.51515</v>
      </c>
      <c r="J1280" s="29" t="s">
        <v>102</v>
      </c>
      <c r="K1280" s="30">
        <f>E1281</f>
        <v>18181.81818</v>
      </c>
      <c r="P1280" s="19"/>
    </row>
    <row r="1281">
      <c r="A1281" s="33" t="s">
        <v>103</v>
      </c>
      <c r="B1281" s="34">
        <v>0.0</v>
      </c>
      <c r="C1281" s="14"/>
      <c r="D1281" s="28" t="s">
        <v>104</v>
      </c>
      <c r="E1281" s="25">
        <f>E1279*6</f>
        <v>18181.81818</v>
      </c>
      <c r="G1281" s="35" t="s">
        <v>105</v>
      </c>
      <c r="H1281" s="36">
        <f>H1272+(25/60)</f>
        <v>4.583333333</v>
      </c>
      <c r="J1281" s="29" t="s">
        <v>106</v>
      </c>
      <c r="K1281" s="30">
        <f>E1289</f>
        <v>20000</v>
      </c>
      <c r="P1281" s="19"/>
    </row>
    <row r="1282">
      <c r="A1282" s="37" t="s">
        <v>107</v>
      </c>
      <c r="B1282" s="38">
        <v>1.0</v>
      </c>
      <c r="C1282" s="14"/>
      <c r="G1282" s="35" t="s">
        <v>108</v>
      </c>
      <c r="H1282" s="36">
        <f>I1275+(25/60)</f>
        <v>0.4166666667</v>
      </c>
      <c r="I1282" s="39" t="s">
        <v>109</v>
      </c>
      <c r="P1282" s="19"/>
    </row>
    <row r="1283">
      <c r="A1283" s="40" t="s">
        <v>110</v>
      </c>
      <c r="B1283" s="13">
        <v>0.0</v>
      </c>
      <c r="C1283" s="14"/>
      <c r="D1283" s="16" t="s">
        <v>111</v>
      </c>
      <c r="G1283" s="16" t="s">
        <v>112</v>
      </c>
      <c r="H1283" s="36"/>
      <c r="I1283" s="39" t="s">
        <v>113</v>
      </c>
      <c r="P1283" s="19"/>
    </row>
    <row r="1284">
      <c r="A1284" s="37" t="s">
        <v>114</v>
      </c>
      <c r="B1284" s="38">
        <v>1.0</v>
      </c>
      <c r="C1284" s="14"/>
      <c r="D1284" s="28" t="s">
        <v>92</v>
      </c>
      <c r="E1284" s="25">
        <f>E1273/H1275</f>
        <v>240000</v>
      </c>
      <c r="G1284" s="28" t="s">
        <v>92</v>
      </c>
      <c r="H1284" s="36">
        <f>E1274/H1282</f>
        <v>0</v>
      </c>
      <c r="I1284" s="39" t="s">
        <v>115</v>
      </c>
      <c r="P1284" s="19"/>
    </row>
    <row r="1285">
      <c r="A1285" s="40" t="s">
        <v>116</v>
      </c>
      <c r="B1285" s="13">
        <v>0.0</v>
      </c>
      <c r="C1285" s="14"/>
      <c r="D1285" s="28" t="s">
        <v>94</v>
      </c>
      <c r="E1285" s="25">
        <f>E1273/I1272</f>
        <v>166666.6667</v>
      </c>
      <c r="G1285" s="28" t="s">
        <v>94</v>
      </c>
      <c r="H1285" s="36">
        <f>E1274/I1272</f>
        <v>0</v>
      </c>
      <c r="I1285" s="39" t="s">
        <v>117</v>
      </c>
      <c r="P1285" s="19"/>
    </row>
    <row r="1286">
      <c r="A1286" s="37" t="s">
        <v>118</v>
      </c>
      <c r="B1286" s="38">
        <v>1.0</v>
      </c>
      <c r="C1286" s="14"/>
      <c r="D1286" s="28" t="s">
        <v>96</v>
      </c>
      <c r="E1286" s="25">
        <f>E1285/H1275</f>
        <v>40000</v>
      </c>
      <c r="G1286" s="28" t="s">
        <v>96</v>
      </c>
      <c r="H1286" s="36">
        <f>H1285/H1282</f>
        <v>0</v>
      </c>
      <c r="P1286" s="19"/>
    </row>
    <row r="1287">
      <c r="A1287" s="40" t="s">
        <v>119</v>
      </c>
      <c r="B1287" s="13">
        <v>0.0</v>
      </c>
      <c r="C1287" s="14"/>
      <c r="D1287" s="28" t="s">
        <v>99</v>
      </c>
      <c r="E1287" s="25">
        <f>E1286/12</f>
        <v>3333.333333</v>
      </c>
      <c r="G1287" s="28" t="s">
        <v>99</v>
      </c>
      <c r="H1287" s="36">
        <f>H1286/12</f>
        <v>0</v>
      </c>
      <c r="P1287" s="19"/>
    </row>
    <row r="1288">
      <c r="A1288" s="37" t="s">
        <v>120</v>
      </c>
      <c r="B1288" s="38">
        <v>1.0</v>
      </c>
      <c r="C1288" s="14"/>
      <c r="D1288" s="28" t="s">
        <v>101</v>
      </c>
      <c r="E1288" s="25">
        <f>E1287*5</f>
        <v>16666.66667</v>
      </c>
      <c r="G1288" s="28" t="s">
        <v>101</v>
      </c>
      <c r="H1288" s="36">
        <f>H1287*5</f>
        <v>0</v>
      </c>
      <c r="P1288" s="19"/>
    </row>
    <row r="1289">
      <c r="A1289" s="40" t="s">
        <v>121</v>
      </c>
      <c r="B1289" s="13">
        <v>0.0</v>
      </c>
      <c r="C1289" s="14"/>
      <c r="D1289" s="28" t="s">
        <v>104</v>
      </c>
      <c r="E1289" s="25">
        <f>E1287*6</f>
        <v>20000</v>
      </c>
      <c r="G1289" s="28" t="s">
        <v>104</v>
      </c>
      <c r="H1289" s="36">
        <f>H1287*6</f>
        <v>0</v>
      </c>
      <c r="P1289" s="19"/>
    </row>
    <row r="1290">
      <c r="A1290" s="37" t="s">
        <v>122</v>
      </c>
      <c r="B1290" s="38">
        <v>1.0</v>
      </c>
      <c r="C1290" s="14"/>
      <c r="P1290" s="19"/>
    </row>
    <row r="1291">
      <c r="A1291" s="40" t="s">
        <v>123</v>
      </c>
      <c r="B1291" s="13">
        <v>0.0</v>
      </c>
      <c r="C1291" s="14"/>
      <c r="D1291" s="28" t="s">
        <v>124</v>
      </c>
      <c r="E1291" s="41"/>
      <c r="F1291" s="41"/>
      <c r="P1291" s="19"/>
    </row>
    <row r="1292">
      <c r="A1292" s="37" t="s">
        <v>125</v>
      </c>
      <c r="B1292" s="38">
        <v>1.0</v>
      </c>
      <c r="C1292" s="14"/>
      <c r="D1292" s="4" t="s">
        <v>126</v>
      </c>
      <c r="E1292" s="25">
        <f t="shared" ref="E1292:E1295" si="221">H1286-E1286</f>
        <v>-40000</v>
      </c>
      <c r="P1292" s="19"/>
    </row>
    <row r="1293">
      <c r="A1293" s="42" t="s">
        <v>127</v>
      </c>
      <c r="C1293" s="14"/>
      <c r="D1293" s="4" t="s">
        <v>128</v>
      </c>
      <c r="E1293" s="25">
        <f t="shared" si="221"/>
        <v>-3333.333333</v>
      </c>
      <c r="P1293" s="19"/>
    </row>
    <row r="1294">
      <c r="A1294" s="32"/>
      <c r="C1294" s="14"/>
      <c r="D1294" s="4" t="s">
        <v>129</v>
      </c>
      <c r="E1294" s="25">
        <f t="shared" si="221"/>
        <v>-16666.66667</v>
      </c>
      <c r="G1294" s="43"/>
      <c r="P1294" s="19"/>
    </row>
    <row r="1295">
      <c r="A1295" s="32"/>
      <c r="C1295" s="14"/>
      <c r="D1295" s="4" t="s">
        <v>130</v>
      </c>
      <c r="E1295" s="25">
        <f t="shared" si="221"/>
        <v>-20000</v>
      </c>
      <c r="P1295" s="19"/>
    </row>
    <row r="1296">
      <c r="A1296" s="24"/>
      <c r="C1296" s="14"/>
      <c r="D1296" s="28" t="s">
        <v>131</v>
      </c>
      <c r="P1296" s="19"/>
    </row>
    <row r="1297">
      <c r="A1297" s="32"/>
      <c r="C1297" s="14"/>
      <c r="D1297" s="4" t="s">
        <v>132</v>
      </c>
      <c r="E1297" s="25">
        <f t="shared" ref="E1297:E1300" si="222">H1286-E1278</f>
        <v>-36363.63636</v>
      </c>
      <c r="P1297" s="19"/>
    </row>
    <row r="1298">
      <c r="A1298" s="32"/>
      <c r="C1298" s="14"/>
      <c r="D1298" s="4" t="s">
        <v>133</v>
      </c>
      <c r="E1298" s="25">
        <f t="shared" si="222"/>
        <v>-3030.30303</v>
      </c>
      <c r="G1298" s="28" t="s">
        <v>134</v>
      </c>
      <c r="I1298" s="35" t="s">
        <v>135</v>
      </c>
      <c r="J1298" s="35" t="s">
        <v>82</v>
      </c>
      <c r="P1298" s="19"/>
    </row>
    <row r="1299">
      <c r="A1299" s="32"/>
      <c r="C1299" s="14"/>
      <c r="D1299" s="4" t="s">
        <v>136</v>
      </c>
      <c r="E1299" s="25">
        <f t="shared" si="222"/>
        <v>-15151.51515</v>
      </c>
      <c r="G1299" s="35" t="s">
        <v>137</v>
      </c>
      <c r="H1299" s="25" t="str">
        <f>(E1272/H1284)-(25/60)</f>
        <v>#DIV/0!</v>
      </c>
      <c r="I1299" s="25" t="str">
        <f t="shared" ref="I1299:I1300" si="223">INT(H1299)</f>
        <v>#DIV/0!</v>
      </c>
      <c r="J1299" s="36" t="str">
        <f t="shared" ref="J1299:J1300" si="224">INT((H1299-I1299)*60)</f>
        <v>#DIV/0!</v>
      </c>
      <c r="P1299" s="19"/>
    </row>
    <row r="1300">
      <c r="A1300" s="44"/>
      <c r="B1300" s="45"/>
      <c r="C1300" s="46"/>
      <c r="D1300" s="47" t="s">
        <v>138</v>
      </c>
      <c r="E1300" s="45">
        <f t="shared" si="222"/>
        <v>-18181.81818</v>
      </c>
      <c r="F1300" s="45"/>
      <c r="G1300" s="48" t="s">
        <v>139</v>
      </c>
      <c r="H1300" s="45" t="str">
        <f>H1272-H1299</f>
        <v>#DIV/0!</v>
      </c>
      <c r="I1300" s="45" t="str">
        <f t="shared" si="223"/>
        <v>#DIV/0!</v>
      </c>
      <c r="J1300" s="49" t="str">
        <f t="shared" si="224"/>
        <v>#DIV/0!</v>
      </c>
      <c r="K1300" s="45"/>
      <c r="L1300" s="45"/>
      <c r="M1300" s="45"/>
      <c r="N1300" s="45"/>
      <c r="O1300" s="45"/>
      <c r="P1300" s="50"/>
    </row>
    <row r="1301">
      <c r="A1301" s="51"/>
      <c r="D1301" s="51"/>
      <c r="G1301" s="51"/>
    </row>
    <row r="1302">
      <c r="A1302" s="51"/>
    </row>
    <row r="1303">
      <c r="A1303" s="51"/>
      <c r="D1303" s="51"/>
    </row>
    <row r="1304">
      <c r="A1304" s="51"/>
    </row>
    <row r="1305">
      <c r="A1305" s="51"/>
      <c r="G1305" s="51"/>
    </row>
    <row r="1307">
      <c r="D1307" s="51"/>
    </row>
    <row r="1310">
      <c r="A1310" s="6" t="s">
        <v>70</v>
      </c>
      <c r="B1310" s="52"/>
      <c r="C1310" s="8"/>
      <c r="D1310" s="9" t="s">
        <v>71</v>
      </c>
      <c r="E1310" s="10"/>
      <c r="F1310" s="10"/>
      <c r="G1310" s="10"/>
      <c r="H1310" s="10"/>
      <c r="I1310" s="10"/>
      <c r="J1310" s="10"/>
      <c r="K1310" s="9"/>
      <c r="L1310" s="10"/>
      <c r="M1310" s="10"/>
      <c r="N1310" s="10"/>
      <c r="O1310" s="10"/>
      <c r="P1310" s="11"/>
    </row>
    <row r="1311">
      <c r="A1311" s="12" t="s">
        <v>72</v>
      </c>
      <c r="B1311" s="13">
        <v>1000000.0</v>
      </c>
      <c r="C1311" s="14"/>
      <c r="D1311" s="53" t="str">
        <f>B1310</f>
        <v/>
      </c>
      <c r="E1311" s="16" t="s">
        <v>73</v>
      </c>
      <c r="F1311" s="17"/>
      <c r="G1311" s="16" t="s">
        <v>74</v>
      </c>
      <c r="H1311" s="16" t="s">
        <v>75</v>
      </c>
      <c r="I1311" s="16" t="s">
        <v>76</v>
      </c>
      <c r="J1311" s="18" t="s">
        <v>77</v>
      </c>
      <c r="P1311" s="19"/>
    </row>
    <row r="1312">
      <c r="A1312" s="12" t="s">
        <v>78</v>
      </c>
      <c r="B1312" s="13">
        <v>1000000.0</v>
      </c>
      <c r="C1312" s="14"/>
      <c r="D1312" s="20" t="s">
        <v>72</v>
      </c>
      <c r="E1312" s="21">
        <f t="shared" ref="E1312:E1313" si="225">B1311</f>
        <v>1000000</v>
      </c>
      <c r="F1312" s="20" t="s">
        <v>79</v>
      </c>
      <c r="G1312" s="21">
        <f t="shared" ref="G1312:G1313" si="226">B1314</f>
        <v>4</v>
      </c>
      <c r="H1312" s="4">
        <f>G1312+(G1313/60)</f>
        <v>4.166666667</v>
      </c>
      <c r="I1312" s="21">
        <f>B1319</f>
        <v>6</v>
      </c>
      <c r="J1312" s="22" t="s">
        <v>80</v>
      </c>
      <c r="K1312" s="23">
        <f>B1321/B1322</f>
        <v>0</v>
      </c>
      <c r="P1312" s="19"/>
    </row>
    <row r="1313">
      <c r="A1313" s="12" t="s">
        <v>81</v>
      </c>
      <c r="B1313" s="14"/>
      <c r="C1313" s="14"/>
      <c r="D1313" s="20" t="s">
        <v>78</v>
      </c>
      <c r="E1313" s="21">
        <f t="shared" si="225"/>
        <v>1000000</v>
      </c>
      <c r="F1313" s="20" t="s">
        <v>82</v>
      </c>
      <c r="G1313" s="21">
        <f t="shared" si="226"/>
        <v>10</v>
      </c>
      <c r="J1313" s="22" t="s">
        <v>83</v>
      </c>
      <c r="K1313" s="23">
        <f>B1323/B1324</f>
        <v>0</v>
      </c>
      <c r="P1313" s="19"/>
    </row>
    <row r="1314">
      <c r="A1314" s="24" t="s">
        <v>79</v>
      </c>
      <c r="B1314" s="13">
        <v>4.0</v>
      </c>
      <c r="C1314" s="14"/>
      <c r="D1314" s="20" t="s">
        <v>84</v>
      </c>
      <c r="E1314" s="25">
        <f>E1312-E1313</f>
        <v>0</v>
      </c>
      <c r="F1314" s="26"/>
      <c r="G1314" s="16" t="s">
        <v>85</v>
      </c>
      <c r="H1314" s="16" t="s">
        <v>86</v>
      </c>
      <c r="I1314" s="16" t="s">
        <v>87</v>
      </c>
      <c r="J1314" s="22" t="s">
        <v>88</v>
      </c>
      <c r="K1314" s="23">
        <f>B1325/B1326</f>
        <v>0</v>
      </c>
      <c r="P1314" s="19"/>
    </row>
    <row r="1315">
      <c r="A1315" s="24" t="s">
        <v>89</v>
      </c>
      <c r="B1315" s="13">
        <v>10.0</v>
      </c>
      <c r="C1315" s="14"/>
      <c r="D1315" s="16" t="s">
        <v>90</v>
      </c>
      <c r="F1315" s="20" t="s">
        <v>79</v>
      </c>
      <c r="G1315" s="21">
        <f t="shared" ref="G1315:G1316" si="227">B1317</f>
        <v>4</v>
      </c>
      <c r="H1315" s="25">
        <f>G1315+(G1316/60)</f>
        <v>4.166666667</v>
      </c>
      <c r="I1315" s="25">
        <f>H1312-H1315</f>
        <v>0</v>
      </c>
      <c r="J1315" s="22" t="s">
        <v>91</v>
      </c>
      <c r="K1315" s="23">
        <f>B1327/B1328</f>
        <v>0</v>
      </c>
      <c r="P1315" s="19"/>
    </row>
    <row r="1316">
      <c r="A1316" s="12" t="s">
        <v>85</v>
      </c>
      <c r="B1316" s="27"/>
      <c r="C1316" s="14"/>
      <c r="D1316" s="28" t="s">
        <v>92</v>
      </c>
      <c r="E1316" s="25">
        <f>E1312/H1321</f>
        <v>218181.8182</v>
      </c>
      <c r="F1316" s="20" t="s">
        <v>82</v>
      </c>
      <c r="G1316" s="21">
        <f t="shared" si="227"/>
        <v>10</v>
      </c>
      <c r="J1316" s="22" t="s">
        <v>93</v>
      </c>
      <c r="K1316" s="23">
        <f>B1329/B1330</f>
        <v>0</v>
      </c>
      <c r="P1316" s="19"/>
    </row>
    <row r="1317">
      <c r="A1317" s="24" t="s">
        <v>79</v>
      </c>
      <c r="B1317" s="13">
        <v>4.0</v>
      </c>
      <c r="C1317" s="14"/>
      <c r="D1317" s="28" t="s">
        <v>94</v>
      </c>
      <c r="E1317" s="25">
        <f>E1312/I1312</f>
        <v>166666.6667</v>
      </c>
      <c r="J1317" s="22" t="s">
        <v>95</v>
      </c>
      <c r="K1317" s="23">
        <f>B1331/B1332</f>
        <v>0</v>
      </c>
      <c r="P1317" s="19"/>
    </row>
    <row r="1318">
      <c r="A1318" s="24" t="s">
        <v>89</v>
      </c>
      <c r="B1318" s="13">
        <v>10.0</v>
      </c>
      <c r="C1318" s="14"/>
      <c r="D1318" s="28" t="s">
        <v>96</v>
      </c>
      <c r="E1318" s="25">
        <f>E1316/I1312</f>
        <v>36363.63636</v>
      </c>
      <c r="J1318" s="29" t="s">
        <v>97</v>
      </c>
      <c r="K1318" s="30">
        <f>SUM(K1312:K1317)</f>
        <v>0</v>
      </c>
      <c r="P1318" s="19"/>
    </row>
    <row r="1319">
      <c r="A1319" s="12" t="s">
        <v>98</v>
      </c>
      <c r="B1319" s="13">
        <v>6.0</v>
      </c>
      <c r="C1319" s="14"/>
      <c r="D1319" s="28" t="s">
        <v>99</v>
      </c>
      <c r="E1319" s="31">
        <f>E1318/12</f>
        <v>3030.30303</v>
      </c>
      <c r="I1319" s="29"/>
      <c r="J1319" s="29" t="s">
        <v>100</v>
      </c>
      <c r="K1319" s="30">
        <f>H1329</f>
        <v>0</v>
      </c>
      <c r="P1319" s="19"/>
    </row>
    <row r="1320">
      <c r="A1320" s="32"/>
      <c r="B1320" s="14"/>
      <c r="C1320" s="14"/>
      <c r="D1320" s="28" t="s">
        <v>101</v>
      </c>
      <c r="E1320" s="25">
        <f>E1319*5</f>
        <v>15151.51515</v>
      </c>
      <c r="J1320" s="29" t="s">
        <v>102</v>
      </c>
      <c r="K1320" s="30">
        <f>E1321</f>
        <v>18181.81818</v>
      </c>
      <c r="P1320" s="19"/>
    </row>
    <row r="1321">
      <c r="A1321" s="33" t="s">
        <v>103</v>
      </c>
      <c r="B1321" s="34">
        <v>0.0</v>
      </c>
      <c r="C1321" s="14"/>
      <c r="D1321" s="28" t="s">
        <v>104</v>
      </c>
      <c r="E1321" s="25">
        <f>E1319*6</f>
        <v>18181.81818</v>
      </c>
      <c r="G1321" s="35" t="s">
        <v>105</v>
      </c>
      <c r="H1321" s="36">
        <f>H1312+(25/60)</f>
        <v>4.583333333</v>
      </c>
      <c r="J1321" s="29" t="s">
        <v>106</v>
      </c>
      <c r="K1321" s="30">
        <f>E1329</f>
        <v>20000</v>
      </c>
      <c r="P1321" s="19"/>
    </row>
    <row r="1322">
      <c r="A1322" s="37" t="s">
        <v>107</v>
      </c>
      <c r="B1322" s="38">
        <v>1.0</v>
      </c>
      <c r="C1322" s="14"/>
      <c r="G1322" s="35" t="s">
        <v>108</v>
      </c>
      <c r="H1322" s="36">
        <f>I1315+(25/60)</f>
        <v>0.4166666667</v>
      </c>
      <c r="I1322" s="39" t="s">
        <v>109</v>
      </c>
      <c r="P1322" s="19"/>
    </row>
    <row r="1323">
      <c r="A1323" s="40" t="s">
        <v>110</v>
      </c>
      <c r="B1323" s="13">
        <v>0.0</v>
      </c>
      <c r="C1323" s="14"/>
      <c r="D1323" s="16" t="s">
        <v>111</v>
      </c>
      <c r="G1323" s="16" t="s">
        <v>112</v>
      </c>
      <c r="H1323" s="36"/>
      <c r="I1323" s="39" t="s">
        <v>113</v>
      </c>
      <c r="P1323" s="19"/>
    </row>
    <row r="1324">
      <c r="A1324" s="37" t="s">
        <v>114</v>
      </c>
      <c r="B1324" s="38">
        <v>1.0</v>
      </c>
      <c r="C1324" s="14"/>
      <c r="D1324" s="28" t="s">
        <v>92</v>
      </c>
      <c r="E1324" s="25">
        <f>E1313/H1315</f>
        <v>240000</v>
      </c>
      <c r="G1324" s="28" t="s">
        <v>92</v>
      </c>
      <c r="H1324" s="36">
        <f>E1314/H1322</f>
        <v>0</v>
      </c>
      <c r="I1324" s="39" t="s">
        <v>115</v>
      </c>
      <c r="P1324" s="19"/>
    </row>
    <row r="1325">
      <c r="A1325" s="40" t="s">
        <v>116</v>
      </c>
      <c r="B1325" s="13">
        <v>0.0</v>
      </c>
      <c r="C1325" s="14"/>
      <c r="D1325" s="28" t="s">
        <v>94</v>
      </c>
      <c r="E1325" s="25">
        <f>E1313/I1312</f>
        <v>166666.6667</v>
      </c>
      <c r="G1325" s="28" t="s">
        <v>94</v>
      </c>
      <c r="H1325" s="36">
        <f>E1314/I1312</f>
        <v>0</v>
      </c>
      <c r="I1325" s="39" t="s">
        <v>117</v>
      </c>
      <c r="P1325" s="19"/>
    </row>
    <row r="1326">
      <c r="A1326" s="37" t="s">
        <v>118</v>
      </c>
      <c r="B1326" s="38">
        <v>1.0</v>
      </c>
      <c r="C1326" s="14"/>
      <c r="D1326" s="28" t="s">
        <v>96</v>
      </c>
      <c r="E1326" s="25">
        <f>E1325/H1315</f>
        <v>40000</v>
      </c>
      <c r="G1326" s="28" t="s">
        <v>96</v>
      </c>
      <c r="H1326" s="36">
        <f>H1325/H1322</f>
        <v>0</v>
      </c>
      <c r="P1326" s="19"/>
    </row>
    <row r="1327">
      <c r="A1327" s="40" t="s">
        <v>119</v>
      </c>
      <c r="B1327" s="13">
        <v>0.0</v>
      </c>
      <c r="C1327" s="14"/>
      <c r="D1327" s="28" t="s">
        <v>99</v>
      </c>
      <c r="E1327" s="25">
        <f>E1326/12</f>
        <v>3333.333333</v>
      </c>
      <c r="G1327" s="28" t="s">
        <v>99</v>
      </c>
      <c r="H1327" s="36">
        <f>H1326/12</f>
        <v>0</v>
      </c>
      <c r="P1327" s="19"/>
    </row>
    <row r="1328">
      <c r="A1328" s="37" t="s">
        <v>120</v>
      </c>
      <c r="B1328" s="38">
        <v>1.0</v>
      </c>
      <c r="C1328" s="14"/>
      <c r="D1328" s="28" t="s">
        <v>101</v>
      </c>
      <c r="E1328" s="25">
        <f>E1327*5</f>
        <v>16666.66667</v>
      </c>
      <c r="G1328" s="28" t="s">
        <v>101</v>
      </c>
      <c r="H1328" s="36">
        <f>H1327*5</f>
        <v>0</v>
      </c>
      <c r="P1328" s="19"/>
    </row>
    <row r="1329">
      <c r="A1329" s="40" t="s">
        <v>121</v>
      </c>
      <c r="B1329" s="13">
        <v>0.0</v>
      </c>
      <c r="C1329" s="14"/>
      <c r="D1329" s="28" t="s">
        <v>104</v>
      </c>
      <c r="E1329" s="25">
        <f>E1327*6</f>
        <v>20000</v>
      </c>
      <c r="G1329" s="28" t="s">
        <v>104</v>
      </c>
      <c r="H1329" s="36">
        <f>H1327*6</f>
        <v>0</v>
      </c>
      <c r="P1329" s="19"/>
    </row>
    <row r="1330">
      <c r="A1330" s="37" t="s">
        <v>122</v>
      </c>
      <c r="B1330" s="38">
        <v>1.0</v>
      </c>
      <c r="C1330" s="14"/>
      <c r="P1330" s="19"/>
    </row>
    <row r="1331">
      <c r="A1331" s="40" t="s">
        <v>123</v>
      </c>
      <c r="B1331" s="13">
        <v>0.0</v>
      </c>
      <c r="C1331" s="14"/>
      <c r="D1331" s="28" t="s">
        <v>124</v>
      </c>
      <c r="E1331" s="41"/>
      <c r="F1331" s="41"/>
      <c r="P1331" s="19"/>
    </row>
    <row r="1332">
      <c r="A1332" s="37" t="s">
        <v>125</v>
      </c>
      <c r="B1332" s="38">
        <v>1.0</v>
      </c>
      <c r="C1332" s="14"/>
      <c r="D1332" s="4" t="s">
        <v>126</v>
      </c>
      <c r="E1332" s="25">
        <f t="shared" ref="E1332:E1335" si="228">H1326-E1326</f>
        <v>-40000</v>
      </c>
      <c r="P1332" s="19"/>
    </row>
    <row r="1333">
      <c r="A1333" s="42" t="s">
        <v>127</v>
      </c>
      <c r="C1333" s="14"/>
      <c r="D1333" s="4" t="s">
        <v>128</v>
      </c>
      <c r="E1333" s="25">
        <f t="shared" si="228"/>
        <v>-3333.333333</v>
      </c>
      <c r="P1333" s="19"/>
    </row>
    <row r="1334">
      <c r="A1334" s="32"/>
      <c r="C1334" s="14"/>
      <c r="D1334" s="4" t="s">
        <v>129</v>
      </c>
      <c r="E1334" s="25">
        <f t="shared" si="228"/>
        <v>-16666.66667</v>
      </c>
      <c r="G1334" s="43"/>
      <c r="P1334" s="19"/>
    </row>
    <row r="1335">
      <c r="A1335" s="32"/>
      <c r="C1335" s="14"/>
      <c r="D1335" s="4" t="s">
        <v>130</v>
      </c>
      <c r="E1335" s="25">
        <f t="shared" si="228"/>
        <v>-20000</v>
      </c>
      <c r="P1335" s="19"/>
    </row>
    <row r="1336">
      <c r="A1336" s="24"/>
      <c r="C1336" s="14"/>
      <c r="D1336" s="28" t="s">
        <v>131</v>
      </c>
      <c r="P1336" s="19"/>
    </row>
    <row r="1337">
      <c r="A1337" s="32"/>
      <c r="C1337" s="14"/>
      <c r="D1337" s="4" t="s">
        <v>132</v>
      </c>
      <c r="E1337" s="25">
        <f t="shared" ref="E1337:E1340" si="229">H1326-E1318</f>
        <v>-36363.63636</v>
      </c>
      <c r="P1337" s="19"/>
    </row>
    <row r="1338">
      <c r="A1338" s="32"/>
      <c r="C1338" s="14"/>
      <c r="D1338" s="4" t="s">
        <v>133</v>
      </c>
      <c r="E1338" s="25">
        <f t="shared" si="229"/>
        <v>-3030.30303</v>
      </c>
      <c r="G1338" s="28" t="s">
        <v>134</v>
      </c>
      <c r="I1338" s="35" t="s">
        <v>135</v>
      </c>
      <c r="J1338" s="35" t="s">
        <v>82</v>
      </c>
      <c r="P1338" s="19"/>
    </row>
    <row r="1339">
      <c r="A1339" s="32"/>
      <c r="C1339" s="14"/>
      <c r="D1339" s="4" t="s">
        <v>136</v>
      </c>
      <c r="E1339" s="25">
        <f t="shared" si="229"/>
        <v>-15151.51515</v>
      </c>
      <c r="G1339" s="35" t="s">
        <v>137</v>
      </c>
      <c r="H1339" s="25" t="str">
        <f>(E1312/H1324)-(25/60)</f>
        <v>#DIV/0!</v>
      </c>
      <c r="I1339" s="25" t="str">
        <f t="shared" ref="I1339:I1340" si="230">INT(H1339)</f>
        <v>#DIV/0!</v>
      </c>
      <c r="J1339" s="36" t="str">
        <f t="shared" ref="J1339:J1340" si="231">INT((H1339-I1339)*60)</f>
        <v>#DIV/0!</v>
      </c>
      <c r="P1339" s="19"/>
    </row>
    <row r="1340">
      <c r="A1340" s="44"/>
      <c r="B1340" s="45"/>
      <c r="C1340" s="46"/>
      <c r="D1340" s="47" t="s">
        <v>138</v>
      </c>
      <c r="E1340" s="45">
        <f t="shared" si="229"/>
        <v>-18181.81818</v>
      </c>
      <c r="F1340" s="45"/>
      <c r="G1340" s="48" t="s">
        <v>139</v>
      </c>
      <c r="H1340" s="45" t="str">
        <f>H1312-H1339</f>
        <v>#DIV/0!</v>
      </c>
      <c r="I1340" s="45" t="str">
        <f t="shared" si="230"/>
        <v>#DIV/0!</v>
      </c>
      <c r="J1340" s="49" t="str">
        <f t="shared" si="231"/>
        <v>#DIV/0!</v>
      </c>
      <c r="K1340" s="45"/>
      <c r="L1340" s="45"/>
      <c r="M1340" s="45"/>
      <c r="N1340" s="45"/>
      <c r="O1340" s="45"/>
      <c r="P1340" s="50"/>
    </row>
    <row r="1341">
      <c r="A1341" s="51"/>
      <c r="B1341" s="51"/>
      <c r="D1341" s="51"/>
    </row>
    <row r="1342">
      <c r="D1342" s="51"/>
      <c r="I1342" s="51"/>
    </row>
    <row r="1343">
      <c r="D1343" s="51"/>
      <c r="I1343" s="51"/>
    </row>
    <row r="1344">
      <c r="A1344" s="51"/>
      <c r="D1344" s="51"/>
      <c r="G1344" s="51"/>
    </row>
    <row r="1345">
      <c r="A1345" s="51"/>
      <c r="G1345" s="51"/>
    </row>
    <row r="1346">
      <c r="A1346" s="51"/>
      <c r="D1346" s="51"/>
      <c r="G1346" s="51"/>
    </row>
    <row r="1347">
      <c r="A1347" s="51"/>
      <c r="D1347" s="51"/>
      <c r="G1347" s="51"/>
    </row>
    <row r="1348">
      <c r="A1348" s="51"/>
      <c r="D1348" s="51"/>
      <c r="G1348" s="51"/>
    </row>
    <row r="1349">
      <c r="A1349" s="51"/>
      <c r="D1349" s="51"/>
      <c r="G1349" s="51"/>
    </row>
    <row r="1350">
      <c r="A1350" s="6" t="s">
        <v>70</v>
      </c>
      <c r="B1350" s="52"/>
      <c r="C1350" s="8"/>
      <c r="D1350" s="9" t="s">
        <v>71</v>
      </c>
      <c r="E1350" s="10"/>
      <c r="F1350" s="10"/>
      <c r="G1350" s="10"/>
      <c r="H1350" s="10"/>
      <c r="I1350" s="10"/>
      <c r="J1350" s="10"/>
      <c r="K1350" s="9"/>
      <c r="L1350" s="10"/>
      <c r="M1350" s="10"/>
      <c r="N1350" s="10"/>
      <c r="O1350" s="10"/>
      <c r="P1350" s="11"/>
    </row>
    <row r="1351">
      <c r="A1351" s="12" t="s">
        <v>72</v>
      </c>
      <c r="B1351" s="13">
        <v>1000000.0</v>
      </c>
      <c r="C1351" s="14"/>
      <c r="D1351" s="53" t="str">
        <f>B1350</f>
        <v/>
      </c>
      <c r="E1351" s="16" t="s">
        <v>73</v>
      </c>
      <c r="F1351" s="17"/>
      <c r="G1351" s="16" t="s">
        <v>74</v>
      </c>
      <c r="H1351" s="16" t="s">
        <v>75</v>
      </c>
      <c r="I1351" s="16" t="s">
        <v>76</v>
      </c>
      <c r="J1351" s="18" t="s">
        <v>77</v>
      </c>
      <c r="P1351" s="19"/>
    </row>
    <row r="1352">
      <c r="A1352" s="12" t="s">
        <v>78</v>
      </c>
      <c r="B1352" s="13">
        <v>1000000.0</v>
      </c>
      <c r="C1352" s="14"/>
      <c r="D1352" s="20" t="s">
        <v>72</v>
      </c>
      <c r="E1352" s="21">
        <f t="shared" ref="E1352:E1353" si="232">B1351</f>
        <v>1000000</v>
      </c>
      <c r="F1352" s="20" t="s">
        <v>79</v>
      </c>
      <c r="G1352" s="21">
        <f t="shared" ref="G1352:G1353" si="233">B1354</f>
        <v>4</v>
      </c>
      <c r="H1352" s="4">
        <f>G1352+(G1353/60)</f>
        <v>4.166666667</v>
      </c>
      <c r="I1352" s="21">
        <f>B1359</f>
        <v>6</v>
      </c>
      <c r="J1352" s="22" t="s">
        <v>80</v>
      </c>
      <c r="K1352" s="23">
        <f>B1361/B1362</f>
        <v>0</v>
      </c>
      <c r="P1352" s="19"/>
    </row>
    <row r="1353">
      <c r="A1353" s="12" t="s">
        <v>81</v>
      </c>
      <c r="B1353" s="14"/>
      <c r="C1353" s="14"/>
      <c r="D1353" s="20" t="s">
        <v>78</v>
      </c>
      <c r="E1353" s="21">
        <f t="shared" si="232"/>
        <v>1000000</v>
      </c>
      <c r="F1353" s="20" t="s">
        <v>82</v>
      </c>
      <c r="G1353" s="21">
        <f t="shared" si="233"/>
        <v>10</v>
      </c>
      <c r="J1353" s="22" t="s">
        <v>83</v>
      </c>
      <c r="K1353" s="23">
        <f>B1363/B1364</f>
        <v>0</v>
      </c>
      <c r="P1353" s="19"/>
    </row>
    <row r="1354">
      <c r="A1354" s="24" t="s">
        <v>79</v>
      </c>
      <c r="B1354" s="13">
        <v>4.0</v>
      </c>
      <c r="C1354" s="14"/>
      <c r="D1354" s="20" t="s">
        <v>84</v>
      </c>
      <c r="E1354" s="25">
        <f>E1352-E1353</f>
        <v>0</v>
      </c>
      <c r="F1354" s="26"/>
      <c r="G1354" s="16" t="s">
        <v>85</v>
      </c>
      <c r="H1354" s="16" t="s">
        <v>86</v>
      </c>
      <c r="I1354" s="16" t="s">
        <v>87</v>
      </c>
      <c r="J1354" s="22" t="s">
        <v>88</v>
      </c>
      <c r="K1354" s="23">
        <f>B1365/B1366</f>
        <v>0</v>
      </c>
      <c r="P1354" s="19"/>
    </row>
    <row r="1355">
      <c r="A1355" s="24" t="s">
        <v>89</v>
      </c>
      <c r="B1355" s="13">
        <v>10.0</v>
      </c>
      <c r="C1355" s="14"/>
      <c r="D1355" s="16" t="s">
        <v>90</v>
      </c>
      <c r="F1355" s="20" t="s">
        <v>79</v>
      </c>
      <c r="G1355" s="21">
        <f t="shared" ref="G1355:G1356" si="234">B1357</f>
        <v>4</v>
      </c>
      <c r="H1355" s="25">
        <f>G1355+(G1356/60)</f>
        <v>4.166666667</v>
      </c>
      <c r="I1355" s="25">
        <f>H1352-H1355</f>
        <v>0</v>
      </c>
      <c r="J1355" s="22" t="s">
        <v>91</v>
      </c>
      <c r="K1355" s="23">
        <f>B1367/B1368</f>
        <v>0</v>
      </c>
      <c r="P1355" s="19"/>
    </row>
    <row r="1356">
      <c r="A1356" s="12" t="s">
        <v>85</v>
      </c>
      <c r="B1356" s="27"/>
      <c r="C1356" s="14"/>
      <c r="D1356" s="28" t="s">
        <v>92</v>
      </c>
      <c r="E1356" s="25">
        <f>E1352/H1361</f>
        <v>218181.8182</v>
      </c>
      <c r="F1356" s="20" t="s">
        <v>82</v>
      </c>
      <c r="G1356" s="21">
        <f t="shared" si="234"/>
        <v>10</v>
      </c>
      <c r="J1356" s="22" t="s">
        <v>93</v>
      </c>
      <c r="K1356" s="23">
        <f>B1369/B1370</f>
        <v>0</v>
      </c>
      <c r="P1356" s="19"/>
    </row>
    <row r="1357">
      <c r="A1357" s="24" t="s">
        <v>79</v>
      </c>
      <c r="B1357" s="13">
        <v>4.0</v>
      </c>
      <c r="C1357" s="14"/>
      <c r="D1357" s="28" t="s">
        <v>94</v>
      </c>
      <c r="E1357" s="25">
        <f>E1352/I1352</f>
        <v>166666.6667</v>
      </c>
      <c r="J1357" s="22" t="s">
        <v>95</v>
      </c>
      <c r="K1357" s="23">
        <f>B1371/B1372</f>
        <v>0</v>
      </c>
      <c r="P1357" s="19"/>
    </row>
    <row r="1358">
      <c r="A1358" s="24" t="s">
        <v>89</v>
      </c>
      <c r="B1358" s="13">
        <v>10.0</v>
      </c>
      <c r="C1358" s="14"/>
      <c r="D1358" s="28" t="s">
        <v>96</v>
      </c>
      <c r="E1358" s="25">
        <f>E1356/I1352</f>
        <v>36363.63636</v>
      </c>
      <c r="J1358" s="29" t="s">
        <v>97</v>
      </c>
      <c r="K1358" s="30">
        <f>SUM(K1352:K1357)</f>
        <v>0</v>
      </c>
      <c r="P1358" s="19"/>
    </row>
    <row r="1359">
      <c r="A1359" s="12" t="s">
        <v>98</v>
      </c>
      <c r="B1359" s="13">
        <v>6.0</v>
      </c>
      <c r="C1359" s="14"/>
      <c r="D1359" s="28" t="s">
        <v>99</v>
      </c>
      <c r="E1359" s="31">
        <f>E1358/12</f>
        <v>3030.30303</v>
      </c>
      <c r="I1359" s="29"/>
      <c r="J1359" s="29" t="s">
        <v>100</v>
      </c>
      <c r="K1359" s="30">
        <f>H1369</f>
        <v>0</v>
      </c>
      <c r="P1359" s="19"/>
    </row>
    <row r="1360">
      <c r="A1360" s="32"/>
      <c r="B1360" s="14"/>
      <c r="C1360" s="14"/>
      <c r="D1360" s="28" t="s">
        <v>101</v>
      </c>
      <c r="E1360" s="25">
        <f>E1359*5</f>
        <v>15151.51515</v>
      </c>
      <c r="J1360" s="29" t="s">
        <v>102</v>
      </c>
      <c r="K1360" s="30">
        <f>E1361</f>
        <v>18181.81818</v>
      </c>
      <c r="P1360" s="19"/>
    </row>
    <row r="1361">
      <c r="A1361" s="33" t="s">
        <v>103</v>
      </c>
      <c r="B1361" s="34">
        <v>0.0</v>
      </c>
      <c r="C1361" s="14"/>
      <c r="D1361" s="28" t="s">
        <v>104</v>
      </c>
      <c r="E1361" s="25">
        <f>E1359*6</f>
        <v>18181.81818</v>
      </c>
      <c r="G1361" s="35" t="s">
        <v>105</v>
      </c>
      <c r="H1361" s="36">
        <f>H1352+(25/60)</f>
        <v>4.583333333</v>
      </c>
      <c r="J1361" s="29" t="s">
        <v>106</v>
      </c>
      <c r="K1361" s="30">
        <f>E1369</f>
        <v>20000</v>
      </c>
      <c r="P1361" s="19"/>
    </row>
    <row r="1362">
      <c r="A1362" s="37" t="s">
        <v>107</v>
      </c>
      <c r="B1362" s="38">
        <v>1.0</v>
      </c>
      <c r="C1362" s="14"/>
      <c r="G1362" s="35" t="s">
        <v>108</v>
      </c>
      <c r="H1362" s="36">
        <f>I1355+(25/60)</f>
        <v>0.4166666667</v>
      </c>
      <c r="I1362" s="39" t="s">
        <v>109</v>
      </c>
      <c r="P1362" s="19"/>
    </row>
    <row r="1363">
      <c r="A1363" s="40" t="s">
        <v>110</v>
      </c>
      <c r="B1363" s="13">
        <v>0.0</v>
      </c>
      <c r="C1363" s="14"/>
      <c r="D1363" s="16" t="s">
        <v>111</v>
      </c>
      <c r="G1363" s="16" t="s">
        <v>112</v>
      </c>
      <c r="H1363" s="36"/>
      <c r="I1363" s="39" t="s">
        <v>113</v>
      </c>
      <c r="P1363" s="19"/>
    </row>
    <row r="1364">
      <c r="A1364" s="37" t="s">
        <v>114</v>
      </c>
      <c r="B1364" s="38">
        <v>1.0</v>
      </c>
      <c r="C1364" s="14"/>
      <c r="D1364" s="28" t="s">
        <v>92</v>
      </c>
      <c r="E1364" s="25">
        <f>E1353/H1355</f>
        <v>240000</v>
      </c>
      <c r="G1364" s="28" t="s">
        <v>92</v>
      </c>
      <c r="H1364" s="36">
        <f>E1354/H1362</f>
        <v>0</v>
      </c>
      <c r="I1364" s="39" t="s">
        <v>115</v>
      </c>
      <c r="P1364" s="19"/>
    </row>
    <row r="1365">
      <c r="A1365" s="40" t="s">
        <v>116</v>
      </c>
      <c r="B1365" s="13">
        <v>0.0</v>
      </c>
      <c r="C1365" s="14"/>
      <c r="D1365" s="28" t="s">
        <v>94</v>
      </c>
      <c r="E1365" s="25">
        <f>E1353/I1352</f>
        <v>166666.6667</v>
      </c>
      <c r="G1365" s="28" t="s">
        <v>94</v>
      </c>
      <c r="H1365" s="36">
        <f>E1354/I1352</f>
        <v>0</v>
      </c>
      <c r="I1365" s="39" t="s">
        <v>117</v>
      </c>
      <c r="P1365" s="19"/>
    </row>
    <row r="1366">
      <c r="A1366" s="37" t="s">
        <v>118</v>
      </c>
      <c r="B1366" s="38">
        <v>1.0</v>
      </c>
      <c r="C1366" s="14"/>
      <c r="D1366" s="28" t="s">
        <v>96</v>
      </c>
      <c r="E1366" s="25">
        <f>E1365/H1355</f>
        <v>40000</v>
      </c>
      <c r="G1366" s="28" t="s">
        <v>96</v>
      </c>
      <c r="H1366" s="36">
        <f>H1365/H1362</f>
        <v>0</v>
      </c>
      <c r="P1366" s="19"/>
    </row>
    <row r="1367">
      <c r="A1367" s="40" t="s">
        <v>119</v>
      </c>
      <c r="B1367" s="13">
        <v>0.0</v>
      </c>
      <c r="C1367" s="14"/>
      <c r="D1367" s="28" t="s">
        <v>99</v>
      </c>
      <c r="E1367" s="25">
        <f>E1366/12</f>
        <v>3333.333333</v>
      </c>
      <c r="G1367" s="28" t="s">
        <v>99</v>
      </c>
      <c r="H1367" s="36">
        <f>H1366/12</f>
        <v>0</v>
      </c>
      <c r="P1367" s="19"/>
    </row>
    <row r="1368">
      <c r="A1368" s="37" t="s">
        <v>120</v>
      </c>
      <c r="B1368" s="38">
        <v>1.0</v>
      </c>
      <c r="C1368" s="14"/>
      <c r="D1368" s="28" t="s">
        <v>101</v>
      </c>
      <c r="E1368" s="25">
        <f>E1367*5</f>
        <v>16666.66667</v>
      </c>
      <c r="G1368" s="28" t="s">
        <v>101</v>
      </c>
      <c r="H1368" s="36">
        <f>H1367*5</f>
        <v>0</v>
      </c>
      <c r="P1368" s="19"/>
    </row>
    <row r="1369">
      <c r="A1369" s="40" t="s">
        <v>121</v>
      </c>
      <c r="B1369" s="13">
        <v>0.0</v>
      </c>
      <c r="C1369" s="14"/>
      <c r="D1369" s="28" t="s">
        <v>104</v>
      </c>
      <c r="E1369" s="25">
        <f>E1367*6</f>
        <v>20000</v>
      </c>
      <c r="G1369" s="28" t="s">
        <v>104</v>
      </c>
      <c r="H1369" s="36">
        <f>H1367*6</f>
        <v>0</v>
      </c>
      <c r="P1369" s="19"/>
    </row>
    <row r="1370">
      <c r="A1370" s="37" t="s">
        <v>122</v>
      </c>
      <c r="B1370" s="38">
        <v>1.0</v>
      </c>
      <c r="C1370" s="14"/>
      <c r="P1370" s="19"/>
    </row>
    <row r="1371">
      <c r="A1371" s="40" t="s">
        <v>123</v>
      </c>
      <c r="B1371" s="13">
        <v>0.0</v>
      </c>
      <c r="C1371" s="14"/>
      <c r="D1371" s="28" t="s">
        <v>124</v>
      </c>
      <c r="E1371" s="41"/>
      <c r="F1371" s="41"/>
      <c r="P1371" s="19"/>
    </row>
    <row r="1372">
      <c r="A1372" s="37" t="s">
        <v>125</v>
      </c>
      <c r="B1372" s="38">
        <v>1.0</v>
      </c>
      <c r="C1372" s="14"/>
      <c r="D1372" s="4" t="s">
        <v>126</v>
      </c>
      <c r="E1372" s="25">
        <f t="shared" ref="E1372:E1375" si="235">H1366-E1366</f>
        <v>-40000</v>
      </c>
      <c r="P1372" s="19"/>
    </row>
    <row r="1373">
      <c r="A1373" s="42" t="s">
        <v>127</v>
      </c>
      <c r="C1373" s="14"/>
      <c r="D1373" s="4" t="s">
        <v>128</v>
      </c>
      <c r="E1373" s="25">
        <f t="shared" si="235"/>
        <v>-3333.333333</v>
      </c>
      <c r="P1373" s="19"/>
    </row>
    <row r="1374">
      <c r="A1374" s="32"/>
      <c r="C1374" s="14"/>
      <c r="D1374" s="4" t="s">
        <v>129</v>
      </c>
      <c r="E1374" s="25">
        <f t="shared" si="235"/>
        <v>-16666.66667</v>
      </c>
      <c r="G1374" s="43"/>
      <c r="P1374" s="19"/>
    </row>
    <row r="1375">
      <c r="A1375" s="32"/>
      <c r="C1375" s="14"/>
      <c r="D1375" s="4" t="s">
        <v>130</v>
      </c>
      <c r="E1375" s="25">
        <f t="shared" si="235"/>
        <v>-20000</v>
      </c>
      <c r="P1375" s="19"/>
    </row>
    <row r="1376">
      <c r="A1376" s="24"/>
      <c r="C1376" s="14"/>
      <c r="D1376" s="28" t="s">
        <v>131</v>
      </c>
      <c r="P1376" s="19"/>
    </row>
    <row r="1377">
      <c r="A1377" s="32"/>
      <c r="C1377" s="14"/>
      <c r="D1377" s="4" t="s">
        <v>132</v>
      </c>
      <c r="E1377" s="25">
        <f t="shared" ref="E1377:E1380" si="236">H1366-E1358</f>
        <v>-36363.63636</v>
      </c>
      <c r="P1377" s="19"/>
    </row>
    <row r="1378">
      <c r="A1378" s="32"/>
      <c r="C1378" s="14"/>
      <c r="D1378" s="4" t="s">
        <v>133</v>
      </c>
      <c r="E1378" s="25">
        <f t="shared" si="236"/>
        <v>-3030.30303</v>
      </c>
      <c r="G1378" s="28" t="s">
        <v>134</v>
      </c>
      <c r="I1378" s="35" t="s">
        <v>135</v>
      </c>
      <c r="J1378" s="35" t="s">
        <v>82</v>
      </c>
      <c r="P1378" s="19"/>
    </row>
    <row r="1379">
      <c r="A1379" s="32"/>
      <c r="C1379" s="14"/>
      <c r="D1379" s="4" t="s">
        <v>136</v>
      </c>
      <c r="E1379" s="25">
        <f t="shared" si="236"/>
        <v>-15151.51515</v>
      </c>
      <c r="G1379" s="35" t="s">
        <v>137</v>
      </c>
      <c r="H1379" s="25" t="str">
        <f>(E1352/H1364)-(25/60)</f>
        <v>#DIV/0!</v>
      </c>
      <c r="I1379" s="25" t="str">
        <f t="shared" ref="I1379:I1380" si="237">INT(H1379)</f>
        <v>#DIV/0!</v>
      </c>
      <c r="J1379" s="36" t="str">
        <f t="shared" ref="J1379:J1380" si="238">INT((H1379-I1379)*60)</f>
        <v>#DIV/0!</v>
      </c>
      <c r="P1379" s="19"/>
    </row>
    <row r="1380">
      <c r="A1380" s="44"/>
      <c r="B1380" s="45"/>
      <c r="C1380" s="46"/>
      <c r="D1380" s="47" t="s">
        <v>138</v>
      </c>
      <c r="E1380" s="45">
        <f t="shared" si="236"/>
        <v>-18181.81818</v>
      </c>
      <c r="F1380" s="45"/>
      <c r="G1380" s="48" t="s">
        <v>139</v>
      </c>
      <c r="H1380" s="45" t="str">
        <f>H1352-H1379</f>
        <v>#DIV/0!</v>
      </c>
      <c r="I1380" s="45" t="str">
        <f t="shared" si="237"/>
        <v>#DIV/0!</v>
      </c>
      <c r="J1380" s="49" t="str">
        <f t="shared" si="238"/>
        <v>#DIV/0!</v>
      </c>
      <c r="K1380" s="45"/>
      <c r="L1380" s="45"/>
      <c r="M1380" s="45"/>
      <c r="N1380" s="45"/>
      <c r="O1380" s="45"/>
      <c r="P1380" s="50"/>
    </row>
    <row r="1381">
      <c r="A1381" s="51"/>
      <c r="B1381" s="51"/>
      <c r="D1381" s="51"/>
    </row>
    <row r="1382">
      <c r="D1382" s="51"/>
      <c r="I1382" s="51"/>
    </row>
    <row r="1383">
      <c r="D1383" s="51"/>
      <c r="I1383" s="51"/>
    </row>
    <row r="1384">
      <c r="D1384" s="51"/>
      <c r="G1384" s="51"/>
    </row>
    <row r="1385">
      <c r="G1385" s="51"/>
    </row>
    <row r="1386">
      <c r="D1386" s="51"/>
      <c r="G1386" s="51"/>
    </row>
    <row r="1387">
      <c r="D1387" s="51"/>
      <c r="G1387" s="51"/>
    </row>
    <row r="1388">
      <c r="D1388" s="51"/>
      <c r="G1388" s="51"/>
    </row>
    <row r="1389">
      <c r="D1389" s="51"/>
      <c r="G1389" s="51"/>
    </row>
    <row r="1390">
      <c r="A1390" s="6" t="s">
        <v>70</v>
      </c>
      <c r="B1390" s="52"/>
      <c r="C1390" s="8"/>
      <c r="D1390" s="9" t="s">
        <v>71</v>
      </c>
      <c r="E1390" s="10"/>
      <c r="F1390" s="10"/>
      <c r="G1390" s="10"/>
      <c r="H1390" s="10"/>
      <c r="I1390" s="10"/>
      <c r="J1390" s="10"/>
      <c r="K1390" s="9"/>
      <c r="L1390" s="10"/>
      <c r="M1390" s="10"/>
      <c r="N1390" s="10"/>
      <c r="O1390" s="10"/>
      <c r="P1390" s="11"/>
    </row>
    <row r="1391">
      <c r="A1391" s="12" t="s">
        <v>72</v>
      </c>
      <c r="B1391" s="13">
        <v>1000000.0</v>
      </c>
      <c r="C1391" s="14"/>
      <c r="D1391" s="53" t="str">
        <f>B1390</f>
        <v/>
      </c>
      <c r="E1391" s="16" t="s">
        <v>73</v>
      </c>
      <c r="F1391" s="17"/>
      <c r="G1391" s="16" t="s">
        <v>74</v>
      </c>
      <c r="H1391" s="16" t="s">
        <v>75</v>
      </c>
      <c r="I1391" s="16" t="s">
        <v>76</v>
      </c>
      <c r="J1391" s="18" t="s">
        <v>77</v>
      </c>
      <c r="P1391" s="19"/>
    </row>
    <row r="1392">
      <c r="A1392" s="12" t="s">
        <v>78</v>
      </c>
      <c r="B1392" s="13">
        <v>1000000.0</v>
      </c>
      <c r="C1392" s="14"/>
      <c r="D1392" s="20" t="s">
        <v>72</v>
      </c>
      <c r="E1392" s="21">
        <f t="shared" ref="E1392:E1393" si="239">B1391</f>
        <v>1000000</v>
      </c>
      <c r="F1392" s="20" t="s">
        <v>79</v>
      </c>
      <c r="G1392" s="21">
        <f t="shared" ref="G1392:G1393" si="240">B1394</f>
        <v>4</v>
      </c>
      <c r="H1392" s="4">
        <f>G1392+(G1393/60)</f>
        <v>4.166666667</v>
      </c>
      <c r="I1392" s="21">
        <f>B1399</f>
        <v>6</v>
      </c>
      <c r="J1392" s="22" t="s">
        <v>80</v>
      </c>
      <c r="K1392" s="23">
        <f>B1401/B1402</f>
        <v>0</v>
      </c>
      <c r="P1392" s="19"/>
    </row>
    <row r="1393">
      <c r="A1393" s="12" t="s">
        <v>81</v>
      </c>
      <c r="B1393" s="14"/>
      <c r="C1393" s="14"/>
      <c r="D1393" s="20" t="s">
        <v>78</v>
      </c>
      <c r="E1393" s="21">
        <f t="shared" si="239"/>
        <v>1000000</v>
      </c>
      <c r="F1393" s="20" t="s">
        <v>82</v>
      </c>
      <c r="G1393" s="21">
        <f t="shared" si="240"/>
        <v>10</v>
      </c>
      <c r="J1393" s="22" t="s">
        <v>83</v>
      </c>
      <c r="K1393" s="23">
        <f>B1403/B1404</f>
        <v>0</v>
      </c>
      <c r="P1393" s="19"/>
    </row>
    <row r="1394">
      <c r="A1394" s="24" t="s">
        <v>79</v>
      </c>
      <c r="B1394" s="13">
        <v>4.0</v>
      </c>
      <c r="C1394" s="14"/>
      <c r="D1394" s="20" t="s">
        <v>84</v>
      </c>
      <c r="E1394" s="25">
        <f>E1392-E1393</f>
        <v>0</v>
      </c>
      <c r="F1394" s="26"/>
      <c r="G1394" s="16" t="s">
        <v>85</v>
      </c>
      <c r="H1394" s="16" t="s">
        <v>86</v>
      </c>
      <c r="I1394" s="16" t="s">
        <v>87</v>
      </c>
      <c r="J1394" s="22" t="s">
        <v>88</v>
      </c>
      <c r="K1394" s="23">
        <f>B1405/B1406</f>
        <v>0</v>
      </c>
      <c r="P1394" s="19"/>
    </row>
    <row r="1395">
      <c r="A1395" s="24" t="s">
        <v>89</v>
      </c>
      <c r="B1395" s="13">
        <v>10.0</v>
      </c>
      <c r="C1395" s="14"/>
      <c r="D1395" s="16" t="s">
        <v>90</v>
      </c>
      <c r="F1395" s="20" t="s">
        <v>79</v>
      </c>
      <c r="G1395" s="21">
        <f t="shared" ref="G1395:G1396" si="241">B1397</f>
        <v>4</v>
      </c>
      <c r="H1395" s="25">
        <f>G1395+(G1396/60)</f>
        <v>4.166666667</v>
      </c>
      <c r="I1395" s="25">
        <f>H1392-H1395</f>
        <v>0</v>
      </c>
      <c r="J1395" s="22" t="s">
        <v>91</v>
      </c>
      <c r="K1395" s="23">
        <f>B1407/B1408</f>
        <v>0</v>
      </c>
      <c r="P1395" s="19"/>
    </row>
    <row r="1396">
      <c r="A1396" s="12" t="s">
        <v>85</v>
      </c>
      <c r="B1396" s="27"/>
      <c r="C1396" s="14"/>
      <c r="D1396" s="28" t="s">
        <v>92</v>
      </c>
      <c r="E1396" s="25">
        <f>E1392/H1401</f>
        <v>218181.8182</v>
      </c>
      <c r="F1396" s="20" t="s">
        <v>82</v>
      </c>
      <c r="G1396" s="21">
        <f t="shared" si="241"/>
        <v>10</v>
      </c>
      <c r="J1396" s="22" t="s">
        <v>93</v>
      </c>
      <c r="K1396" s="23">
        <f>B1409/B1410</f>
        <v>0</v>
      </c>
      <c r="P1396" s="19"/>
    </row>
    <row r="1397">
      <c r="A1397" s="24" t="s">
        <v>79</v>
      </c>
      <c r="B1397" s="13">
        <v>4.0</v>
      </c>
      <c r="C1397" s="14"/>
      <c r="D1397" s="28" t="s">
        <v>94</v>
      </c>
      <c r="E1397" s="25">
        <f>E1392/I1392</f>
        <v>166666.6667</v>
      </c>
      <c r="J1397" s="22" t="s">
        <v>95</v>
      </c>
      <c r="K1397" s="23">
        <f>B1411/B1412</f>
        <v>0</v>
      </c>
      <c r="P1397" s="19"/>
    </row>
    <row r="1398">
      <c r="A1398" s="24" t="s">
        <v>89</v>
      </c>
      <c r="B1398" s="13">
        <v>10.0</v>
      </c>
      <c r="C1398" s="14"/>
      <c r="D1398" s="28" t="s">
        <v>96</v>
      </c>
      <c r="E1398" s="25">
        <f>E1396/I1392</f>
        <v>36363.63636</v>
      </c>
      <c r="J1398" s="29" t="s">
        <v>97</v>
      </c>
      <c r="K1398" s="30">
        <f>SUM(K1392:K1397)</f>
        <v>0</v>
      </c>
      <c r="P1398" s="19"/>
    </row>
    <row r="1399">
      <c r="A1399" s="12" t="s">
        <v>98</v>
      </c>
      <c r="B1399" s="13">
        <v>6.0</v>
      </c>
      <c r="C1399" s="14"/>
      <c r="D1399" s="28" t="s">
        <v>99</v>
      </c>
      <c r="E1399" s="31">
        <f>E1398/12</f>
        <v>3030.30303</v>
      </c>
      <c r="I1399" s="29"/>
      <c r="J1399" s="29" t="s">
        <v>100</v>
      </c>
      <c r="K1399" s="30">
        <f>H1409</f>
        <v>0</v>
      </c>
      <c r="P1399" s="19"/>
    </row>
    <row r="1400">
      <c r="A1400" s="32"/>
      <c r="B1400" s="14"/>
      <c r="C1400" s="14"/>
      <c r="D1400" s="28" t="s">
        <v>101</v>
      </c>
      <c r="E1400" s="25">
        <f>E1399*5</f>
        <v>15151.51515</v>
      </c>
      <c r="J1400" s="29" t="s">
        <v>102</v>
      </c>
      <c r="K1400" s="30">
        <f>E1401</f>
        <v>18181.81818</v>
      </c>
      <c r="P1400" s="19"/>
    </row>
    <row r="1401">
      <c r="A1401" s="33" t="s">
        <v>103</v>
      </c>
      <c r="B1401" s="34">
        <v>0.0</v>
      </c>
      <c r="C1401" s="14"/>
      <c r="D1401" s="28" t="s">
        <v>104</v>
      </c>
      <c r="E1401" s="25">
        <f>E1399*6</f>
        <v>18181.81818</v>
      </c>
      <c r="G1401" s="35" t="s">
        <v>105</v>
      </c>
      <c r="H1401" s="36">
        <f>H1392+(25/60)</f>
        <v>4.583333333</v>
      </c>
      <c r="J1401" s="29" t="s">
        <v>106</v>
      </c>
      <c r="K1401" s="30">
        <f>E1409</f>
        <v>20000</v>
      </c>
      <c r="P1401" s="19"/>
    </row>
    <row r="1402">
      <c r="A1402" s="37" t="s">
        <v>107</v>
      </c>
      <c r="B1402" s="38">
        <v>1.0</v>
      </c>
      <c r="C1402" s="14"/>
      <c r="G1402" s="35" t="s">
        <v>108</v>
      </c>
      <c r="H1402" s="36">
        <f>I1395+(25/60)</f>
        <v>0.4166666667</v>
      </c>
      <c r="I1402" s="39" t="s">
        <v>109</v>
      </c>
      <c r="P1402" s="19"/>
    </row>
    <row r="1403">
      <c r="A1403" s="40" t="s">
        <v>110</v>
      </c>
      <c r="B1403" s="13">
        <v>0.0</v>
      </c>
      <c r="C1403" s="14"/>
      <c r="D1403" s="16" t="s">
        <v>111</v>
      </c>
      <c r="G1403" s="16" t="s">
        <v>112</v>
      </c>
      <c r="H1403" s="36"/>
      <c r="I1403" s="39" t="s">
        <v>113</v>
      </c>
      <c r="P1403" s="19"/>
    </row>
    <row r="1404">
      <c r="A1404" s="37" t="s">
        <v>114</v>
      </c>
      <c r="B1404" s="38">
        <v>1.0</v>
      </c>
      <c r="C1404" s="14"/>
      <c r="D1404" s="28" t="s">
        <v>92</v>
      </c>
      <c r="E1404" s="25">
        <f>E1393/H1395</f>
        <v>240000</v>
      </c>
      <c r="G1404" s="28" t="s">
        <v>92</v>
      </c>
      <c r="H1404" s="36">
        <f>E1394/H1402</f>
        <v>0</v>
      </c>
      <c r="I1404" s="39" t="s">
        <v>115</v>
      </c>
      <c r="P1404" s="19"/>
    </row>
    <row r="1405">
      <c r="A1405" s="40" t="s">
        <v>116</v>
      </c>
      <c r="B1405" s="13">
        <v>0.0</v>
      </c>
      <c r="C1405" s="14"/>
      <c r="D1405" s="28" t="s">
        <v>94</v>
      </c>
      <c r="E1405" s="25">
        <f>E1393/I1392</f>
        <v>166666.6667</v>
      </c>
      <c r="G1405" s="28" t="s">
        <v>94</v>
      </c>
      <c r="H1405" s="36">
        <f>E1394/I1392</f>
        <v>0</v>
      </c>
      <c r="I1405" s="39" t="s">
        <v>117</v>
      </c>
      <c r="P1405" s="19"/>
    </row>
    <row r="1406">
      <c r="A1406" s="37" t="s">
        <v>118</v>
      </c>
      <c r="B1406" s="38">
        <v>1.0</v>
      </c>
      <c r="C1406" s="14"/>
      <c r="D1406" s="28" t="s">
        <v>96</v>
      </c>
      <c r="E1406" s="25">
        <f>E1405/H1395</f>
        <v>40000</v>
      </c>
      <c r="G1406" s="28" t="s">
        <v>96</v>
      </c>
      <c r="H1406" s="36">
        <f>H1405/H1402</f>
        <v>0</v>
      </c>
      <c r="P1406" s="19"/>
    </row>
    <row r="1407">
      <c r="A1407" s="40" t="s">
        <v>119</v>
      </c>
      <c r="B1407" s="13">
        <v>0.0</v>
      </c>
      <c r="C1407" s="14"/>
      <c r="D1407" s="28" t="s">
        <v>99</v>
      </c>
      <c r="E1407" s="25">
        <f>E1406/12</f>
        <v>3333.333333</v>
      </c>
      <c r="G1407" s="28" t="s">
        <v>99</v>
      </c>
      <c r="H1407" s="36">
        <f>H1406/12</f>
        <v>0</v>
      </c>
      <c r="P1407" s="19"/>
    </row>
    <row r="1408">
      <c r="A1408" s="37" t="s">
        <v>120</v>
      </c>
      <c r="B1408" s="38">
        <v>1.0</v>
      </c>
      <c r="C1408" s="14"/>
      <c r="D1408" s="28" t="s">
        <v>101</v>
      </c>
      <c r="E1408" s="25">
        <f>E1407*5</f>
        <v>16666.66667</v>
      </c>
      <c r="G1408" s="28" t="s">
        <v>101</v>
      </c>
      <c r="H1408" s="36">
        <f>H1407*5</f>
        <v>0</v>
      </c>
      <c r="P1408" s="19"/>
    </row>
    <row r="1409">
      <c r="A1409" s="40" t="s">
        <v>121</v>
      </c>
      <c r="B1409" s="13">
        <v>0.0</v>
      </c>
      <c r="C1409" s="14"/>
      <c r="D1409" s="28" t="s">
        <v>104</v>
      </c>
      <c r="E1409" s="25">
        <f>E1407*6</f>
        <v>20000</v>
      </c>
      <c r="G1409" s="28" t="s">
        <v>104</v>
      </c>
      <c r="H1409" s="36">
        <f>H1407*6</f>
        <v>0</v>
      </c>
      <c r="P1409" s="19"/>
    </row>
    <row r="1410">
      <c r="A1410" s="37" t="s">
        <v>122</v>
      </c>
      <c r="B1410" s="38">
        <v>1.0</v>
      </c>
      <c r="C1410" s="14"/>
      <c r="P1410" s="19"/>
    </row>
    <row r="1411">
      <c r="A1411" s="40" t="s">
        <v>123</v>
      </c>
      <c r="B1411" s="13">
        <v>0.0</v>
      </c>
      <c r="C1411" s="14"/>
      <c r="D1411" s="28" t="s">
        <v>124</v>
      </c>
      <c r="E1411" s="41"/>
      <c r="F1411" s="41"/>
      <c r="P1411" s="19"/>
    </row>
    <row r="1412">
      <c r="A1412" s="37" t="s">
        <v>125</v>
      </c>
      <c r="B1412" s="38">
        <v>1.0</v>
      </c>
      <c r="C1412" s="14"/>
      <c r="D1412" s="4" t="s">
        <v>126</v>
      </c>
      <c r="E1412" s="25">
        <f t="shared" ref="E1412:E1415" si="242">H1406-E1406</f>
        <v>-40000</v>
      </c>
      <c r="P1412" s="19"/>
    </row>
    <row r="1413">
      <c r="A1413" s="42" t="s">
        <v>127</v>
      </c>
      <c r="C1413" s="14"/>
      <c r="D1413" s="4" t="s">
        <v>128</v>
      </c>
      <c r="E1413" s="25">
        <f t="shared" si="242"/>
        <v>-3333.333333</v>
      </c>
      <c r="P1413" s="19"/>
    </row>
    <row r="1414">
      <c r="A1414" s="32"/>
      <c r="C1414" s="14"/>
      <c r="D1414" s="4" t="s">
        <v>129</v>
      </c>
      <c r="E1414" s="25">
        <f t="shared" si="242"/>
        <v>-16666.66667</v>
      </c>
      <c r="G1414" s="43"/>
      <c r="P1414" s="19"/>
    </row>
    <row r="1415">
      <c r="A1415" s="32"/>
      <c r="C1415" s="14"/>
      <c r="D1415" s="4" t="s">
        <v>130</v>
      </c>
      <c r="E1415" s="25">
        <f t="shared" si="242"/>
        <v>-20000</v>
      </c>
      <c r="P1415" s="19"/>
    </row>
    <row r="1416">
      <c r="A1416" s="24"/>
      <c r="C1416" s="14"/>
      <c r="D1416" s="28" t="s">
        <v>131</v>
      </c>
      <c r="P1416" s="19"/>
    </row>
    <row r="1417">
      <c r="A1417" s="32"/>
      <c r="C1417" s="14"/>
      <c r="D1417" s="4" t="s">
        <v>132</v>
      </c>
      <c r="E1417" s="25">
        <f t="shared" ref="E1417:E1420" si="243">H1406-E1398</f>
        <v>-36363.63636</v>
      </c>
      <c r="P1417" s="19"/>
    </row>
    <row r="1418">
      <c r="A1418" s="32"/>
      <c r="C1418" s="14"/>
      <c r="D1418" s="4" t="s">
        <v>133</v>
      </c>
      <c r="E1418" s="25">
        <f t="shared" si="243"/>
        <v>-3030.30303</v>
      </c>
      <c r="G1418" s="28" t="s">
        <v>134</v>
      </c>
      <c r="I1418" s="35" t="s">
        <v>135</v>
      </c>
      <c r="J1418" s="35" t="s">
        <v>82</v>
      </c>
      <c r="P1418" s="19"/>
    </row>
    <row r="1419">
      <c r="A1419" s="32"/>
      <c r="C1419" s="14"/>
      <c r="D1419" s="4" t="s">
        <v>136</v>
      </c>
      <c r="E1419" s="25">
        <f t="shared" si="243"/>
        <v>-15151.51515</v>
      </c>
      <c r="G1419" s="35" t="s">
        <v>137</v>
      </c>
      <c r="H1419" s="25" t="str">
        <f>(E1392/H1404)-(25/60)</f>
        <v>#DIV/0!</v>
      </c>
      <c r="I1419" s="25" t="str">
        <f t="shared" ref="I1419:I1420" si="244">INT(H1419)</f>
        <v>#DIV/0!</v>
      </c>
      <c r="J1419" s="36" t="str">
        <f t="shared" ref="J1419:J1420" si="245">INT((H1419-I1419)*60)</f>
        <v>#DIV/0!</v>
      </c>
      <c r="P1419" s="19"/>
    </row>
    <row r="1420">
      <c r="A1420" s="44"/>
      <c r="B1420" s="45"/>
      <c r="C1420" s="46"/>
      <c r="D1420" s="47" t="s">
        <v>138</v>
      </c>
      <c r="E1420" s="45">
        <f t="shared" si="243"/>
        <v>-18181.81818</v>
      </c>
      <c r="F1420" s="45"/>
      <c r="G1420" s="48" t="s">
        <v>139</v>
      </c>
      <c r="H1420" s="45" t="str">
        <f>H1392-H1419</f>
        <v>#DIV/0!</v>
      </c>
      <c r="I1420" s="45" t="str">
        <f t="shared" si="244"/>
        <v>#DIV/0!</v>
      </c>
      <c r="J1420" s="49" t="str">
        <f t="shared" si="245"/>
        <v>#DIV/0!</v>
      </c>
      <c r="K1420" s="45"/>
      <c r="L1420" s="45"/>
      <c r="M1420" s="45"/>
      <c r="N1420" s="45"/>
      <c r="O1420" s="45"/>
      <c r="P1420" s="50"/>
    </row>
    <row r="1421">
      <c r="A1421" s="51"/>
      <c r="B1421" s="51"/>
      <c r="D1421" s="51"/>
    </row>
    <row r="1422">
      <c r="D1422" s="51"/>
      <c r="I1422" s="51"/>
    </row>
    <row r="1423">
      <c r="D1423" s="51"/>
      <c r="I1423" s="51"/>
    </row>
    <row r="1424">
      <c r="A1424" s="51"/>
      <c r="D1424" s="51"/>
      <c r="G1424" s="51"/>
    </row>
    <row r="1425">
      <c r="A1425" s="51"/>
      <c r="G1425" s="51"/>
    </row>
    <row r="1426">
      <c r="A1426" s="51"/>
      <c r="D1426" s="51"/>
      <c r="G1426" s="51"/>
    </row>
    <row r="1427">
      <c r="A1427" s="51"/>
      <c r="D1427" s="51"/>
      <c r="G1427" s="51"/>
    </row>
    <row r="1428">
      <c r="A1428" s="51"/>
      <c r="D1428" s="51"/>
      <c r="G1428" s="51"/>
    </row>
    <row r="1429">
      <c r="A1429" s="51"/>
      <c r="D1429" s="51"/>
      <c r="G1429" s="51"/>
    </row>
    <row r="1430">
      <c r="A1430" s="6" t="s">
        <v>70</v>
      </c>
      <c r="B1430" s="52"/>
      <c r="C1430" s="8"/>
      <c r="D1430" s="9" t="s">
        <v>71</v>
      </c>
      <c r="E1430" s="10"/>
      <c r="F1430" s="10"/>
      <c r="G1430" s="10"/>
      <c r="H1430" s="10"/>
      <c r="I1430" s="10"/>
      <c r="J1430" s="10"/>
      <c r="K1430" s="9"/>
      <c r="L1430" s="10"/>
      <c r="M1430" s="10"/>
      <c r="N1430" s="10"/>
      <c r="O1430" s="10"/>
      <c r="P1430" s="11"/>
    </row>
    <row r="1431">
      <c r="A1431" s="12" t="s">
        <v>72</v>
      </c>
      <c r="B1431" s="13">
        <v>1000000.0</v>
      </c>
      <c r="C1431" s="14"/>
      <c r="D1431" s="53" t="str">
        <f>B1430</f>
        <v/>
      </c>
      <c r="E1431" s="16" t="s">
        <v>73</v>
      </c>
      <c r="F1431" s="17"/>
      <c r="G1431" s="16" t="s">
        <v>74</v>
      </c>
      <c r="H1431" s="16" t="s">
        <v>75</v>
      </c>
      <c r="I1431" s="16" t="s">
        <v>76</v>
      </c>
      <c r="J1431" s="18" t="s">
        <v>77</v>
      </c>
      <c r="P1431" s="19"/>
    </row>
    <row r="1432">
      <c r="A1432" s="12" t="s">
        <v>78</v>
      </c>
      <c r="B1432" s="13">
        <v>1000000.0</v>
      </c>
      <c r="C1432" s="14"/>
      <c r="D1432" s="20" t="s">
        <v>72</v>
      </c>
      <c r="E1432" s="21">
        <f t="shared" ref="E1432:E1433" si="246">B1431</f>
        <v>1000000</v>
      </c>
      <c r="F1432" s="20" t="s">
        <v>79</v>
      </c>
      <c r="G1432" s="21">
        <f t="shared" ref="G1432:G1433" si="247">B1434</f>
        <v>4</v>
      </c>
      <c r="H1432" s="4">
        <f>G1432+(G1433/60)</f>
        <v>4.166666667</v>
      </c>
      <c r="I1432" s="21">
        <f>B1439</f>
        <v>6</v>
      </c>
      <c r="J1432" s="22" t="s">
        <v>80</v>
      </c>
      <c r="K1432" s="23">
        <f>B1441/B1442</f>
        <v>0</v>
      </c>
      <c r="P1432" s="19"/>
    </row>
    <row r="1433">
      <c r="A1433" s="12" t="s">
        <v>81</v>
      </c>
      <c r="B1433" s="14"/>
      <c r="C1433" s="14"/>
      <c r="D1433" s="20" t="s">
        <v>78</v>
      </c>
      <c r="E1433" s="21">
        <f t="shared" si="246"/>
        <v>1000000</v>
      </c>
      <c r="F1433" s="20" t="s">
        <v>82</v>
      </c>
      <c r="G1433" s="21">
        <f t="shared" si="247"/>
        <v>10</v>
      </c>
      <c r="J1433" s="22" t="s">
        <v>83</v>
      </c>
      <c r="K1433" s="23">
        <f>B1443/B1444</f>
        <v>0</v>
      </c>
      <c r="P1433" s="19"/>
    </row>
    <row r="1434">
      <c r="A1434" s="24" t="s">
        <v>79</v>
      </c>
      <c r="B1434" s="13">
        <v>4.0</v>
      </c>
      <c r="C1434" s="14"/>
      <c r="D1434" s="20" t="s">
        <v>84</v>
      </c>
      <c r="E1434" s="25">
        <f>E1432-E1433</f>
        <v>0</v>
      </c>
      <c r="F1434" s="26"/>
      <c r="G1434" s="16" t="s">
        <v>85</v>
      </c>
      <c r="H1434" s="16" t="s">
        <v>86</v>
      </c>
      <c r="I1434" s="16" t="s">
        <v>87</v>
      </c>
      <c r="J1434" s="22" t="s">
        <v>88</v>
      </c>
      <c r="K1434" s="23">
        <f>B1445/B1446</f>
        <v>0</v>
      </c>
      <c r="P1434" s="19"/>
    </row>
    <row r="1435">
      <c r="A1435" s="24" t="s">
        <v>89</v>
      </c>
      <c r="B1435" s="13">
        <v>10.0</v>
      </c>
      <c r="C1435" s="14"/>
      <c r="D1435" s="16" t="s">
        <v>90</v>
      </c>
      <c r="F1435" s="20" t="s">
        <v>79</v>
      </c>
      <c r="G1435" s="21">
        <f t="shared" ref="G1435:G1436" si="248">B1437</f>
        <v>4</v>
      </c>
      <c r="H1435" s="25">
        <f>G1435+(G1436/60)</f>
        <v>4.166666667</v>
      </c>
      <c r="I1435" s="25">
        <f>H1432-H1435</f>
        <v>0</v>
      </c>
      <c r="J1435" s="22" t="s">
        <v>91</v>
      </c>
      <c r="K1435" s="23">
        <f>B1447/B1448</f>
        <v>0</v>
      </c>
      <c r="P1435" s="19"/>
    </row>
    <row r="1436">
      <c r="A1436" s="12" t="s">
        <v>85</v>
      </c>
      <c r="B1436" s="27"/>
      <c r="C1436" s="14"/>
      <c r="D1436" s="28" t="s">
        <v>92</v>
      </c>
      <c r="E1436" s="25">
        <f>E1432/H1441</f>
        <v>218181.8182</v>
      </c>
      <c r="F1436" s="20" t="s">
        <v>82</v>
      </c>
      <c r="G1436" s="21">
        <f t="shared" si="248"/>
        <v>10</v>
      </c>
      <c r="J1436" s="22" t="s">
        <v>93</v>
      </c>
      <c r="K1436" s="23">
        <f>B1449/B1450</f>
        <v>0</v>
      </c>
      <c r="P1436" s="19"/>
    </row>
    <row r="1437">
      <c r="A1437" s="24" t="s">
        <v>79</v>
      </c>
      <c r="B1437" s="13">
        <v>4.0</v>
      </c>
      <c r="C1437" s="14"/>
      <c r="D1437" s="28" t="s">
        <v>94</v>
      </c>
      <c r="E1437" s="25">
        <f>E1432/I1432</f>
        <v>166666.6667</v>
      </c>
      <c r="J1437" s="22" t="s">
        <v>95</v>
      </c>
      <c r="K1437" s="23">
        <f>B1451/B1452</f>
        <v>0</v>
      </c>
      <c r="P1437" s="19"/>
    </row>
    <row r="1438">
      <c r="A1438" s="24" t="s">
        <v>89</v>
      </c>
      <c r="B1438" s="13">
        <v>10.0</v>
      </c>
      <c r="C1438" s="14"/>
      <c r="D1438" s="28" t="s">
        <v>96</v>
      </c>
      <c r="E1438" s="25">
        <f>E1436/I1432</f>
        <v>36363.63636</v>
      </c>
      <c r="J1438" s="29" t="s">
        <v>97</v>
      </c>
      <c r="K1438" s="30">
        <f>SUM(K1432:K1437)</f>
        <v>0</v>
      </c>
      <c r="P1438" s="19"/>
    </row>
    <row r="1439">
      <c r="A1439" s="12" t="s">
        <v>98</v>
      </c>
      <c r="B1439" s="13">
        <v>6.0</v>
      </c>
      <c r="C1439" s="14"/>
      <c r="D1439" s="28" t="s">
        <v>99</v>
      </c>
      <c r="E1439" s="31">
        <f>E1438/12</f>
        <v>3030.30303</v>
      </c>
      <c r="I1439" s="29"/>
      <c r="J1439" s="29" t="s">
        <v>100</v>
      </c>
      <c r="K1439" s="30">
        <f>H1449</f>
        <v>0</v>
      </c>
      <c r="P1439" s="19"/>
    </row>
    <row r="1440">
      <c r="A1440" s="32"/>
      <c r="B1440" s="14"/>
      <c r="C1440" s="14"/>
      <c r="D1440" s="28" t="s">
        <v>101</v>
      </c>
      <c r="E1440" s="25">
        <f>E1439*5</f>
        <v>15151.51515</v>
      </c>
      <c r="J1440" s="29" t="s">
        <v>102</v>
      </c>
      <c r="K1440" s="30">
        <f>E1441</f>
        <v>18181.81818</v>
      </c>
      <c r="P1440" s="19"/>
    </row>
    <row r="1441">
      <c r="A1441" s="33" t="s">
        <v>103</v>
      </c>
      <c r="B1441" s="34">
        <v>0.0</v>
      </c>
      <c r="C1441" s="14"/>
      <c r="D1441" s="28" t="s">
        <v>104</v>
      </c>
      <c r="E1441" s="25">
        <f>E1439*6</f>
        <v>18181.81818</v>
      </c>
      <c r="G1441" s="35" t="s">
        <v>105</v>
      </c>
      <c r="H1441" s="36">
        <f>H1432+(25/60)</f>
        <v>4.583333333</v>
      </c>
      <c r="J1441" s="29" t="s">
        <v>106</v>
      </c>
      <c r="K1441" s="30">
        <f>E1449</f>
        <v>20000</v>
      </c>
      <c r="P1441" s="19"/>
    </row>
    <row r="1442">
      <c r="A1442" s="37" t="s">
        <v>107</v>
      </c>
      <c r="B1442" s="38">
        <v>1.0</v>
      </c>
      <c r="C1442" s="14"/>
      <c r="G1442" s="35" t="s">
        <v>108</v>
      </c>
      <c r="H1442" s="36">
        <f>I1435+(25/60)</f>
        <v>0.4166666667</v>
      </c>
      <c r="I1442" s="39" t="s">
        <v>109</v>
      </c>
      <c r="P1442" s="19"/>
    </row>
    <row r="1443">
      <c r="A1443" s="40" t="s">
        <v>110</v>
      </c>
      <c r="B1443" s="13">
        <v>0.0</v>
      </c>
      <c r="C1443" s="14"/>
      <c r="D1443" s="16" t="s">
        <v>111</v>
      </c>
      <c r="G1443" s="16" t="s">
        <v>112</v>
      </c>
      <c r="H1443" s="36"/>
      <c r="I1443" s="39" t="s">
        <v>113</v>
      </c>
      <c r="P1443" s="19"/>
    </row>
    <row r="1444">
      <c r="A1444" s="37" t="s">
        <v>114</v>
      </c>
      <c r="B1444" s="38">
        <v>1.0</v>
      </c>
      <c r="C1444" s="14"/>
      <c r="D1444" s="28" t="s">
        <v>92</v>
      </c>
      <c r="E1444" s="25">
        <f>E1433/H1435</f>
        <v>240000</v>
      </c>
      <c r="G1444" s="28" t="s">
        <v>92</v>
      </c>
      <c r="H1444" s="36">
        <f>E1434/H1442</f>
        <v>0</v>
      </c>
      <c r="I1444" s="39" t="s">
        <v>115</v>
      </c>
      <c r="P1444" s="19"/>
    </row>
    <row r="1445">
      <c r="A1445" s="40" t="s">
        <v>116</v>
      </c>
      <c r="B1445" s="13">
        <v>0.0</v>
      </c>
      <c r="C1445" s="14"/>
      <c r="D1445" s="28" t="s">
        <v>94</v>
      </c>
      <c r="E1445" s="25">
        <f>E1433/I1432</f>
        <v>166666.6667</v>
      </c>
      <c r="G1445" s="28" t="s">
        <v>94</v>
      </c>
      <c r="H1445" s="36">
        <f>E1434/I1432</f>
        <v>0</v>
      </c>
      <c r="I1445" s="39" t="s">
        <v>117</v>
      </c>
      <c r="P1445" s="19"/>
    </row>
    <row r="1446">
      <c r="A1446" s="37" t="s">
        <v>118</v>
      </c>
      <c r="B1446" s="38">
        <v>1.0</v>
      </c>
      <c r="C1446" s="14"/>
      <c r="D1446" s="28" t="s">
        <v>96</v>
      </c>
      <c r="E1446" s="25">
        <f>E1445/H1435</f>
        <v>40000</v>
      </c>
      <c r="G1446" s="28" t="s">
        <v>96</v>
      </c>
      <c r="H1446" s="36">
        <f>H1445/H1442</f>
        <v>0</v>
      </c>
      <c r="P1446" s="19"/>
    </row>
    <row r="1447">
      <c r="A1447" s="40" t="s">
        <v>119</v>
      </c>
      <c r="B1447" s="13">
        <v>0.0</v>
      </c>
      <c r="C1447" s="14"/>
      <c r="D1447" s="28" t="s">
        <v>99</v>
      </c>
      <c r="E1447" s="25">
        <f>E1446/12</f>
        <v>3333.333333</v>
      </c>
      <c r="G1447" s="28" t="s">
        <v>99</v>
      </c>
      <c r="H1447" s="36">
        <f>H1446/12</f>
        <v>0</v>
      </c>
      <c r="P1447" s="19"/>
    </row>
    <row r="1448">
      <c r="A1448" s="37" t="s">
        <v>120</v>
      </c>
      <c r="B1448" s="38">
        <v>1.0</v>
      </c>
      <c r="C1448" s="14"/>
      <c r="D1448" s="28" t="s">
        <v>101</v>
      </c>
      <c r="E1448" s="25">
        <f>E1447*5</f>
        <v>16666.66667</v>
      </c>
      <c r="G1448" s="28" t="s">
        <v>101</v>
      </c>
      <c r="H1448" s="36">
        <f>H1447*5</f>
        <v>0</v>
      </c>
      <c r="P1448" s="19"/>
    </row>
    <row r="1449">
      <c r="A1449" s="40" t="s">
        <v>121</v>
      </c>
      <c r="B1449" s="13">
        <v>0.0</v>
      </c>
      <c r="C1449" s="14"/>
      <c r="D1449" s="28" t="s">
        <v>104</v>
      </c>
      <c r="E1449" s="25">
        <f>E1447*6</f>
        <v>20000</v>
      </c>
      <c r="G1449" s="28" t="s">
        <v>104</v>
      </c>
      <c r="H1449" s="36">
        <f>H1447*6</f>
        <v>0</v>
      </c>
      <c r="P1449" s="19"/>
    </row>
    <row r="1450">
      <c r="A1450" s="37" t="s">
        <v>122</v>
      </c>
      <c r="B1450" s="38">
        <v>1.0</v>
      </c>
      <c r="C1450" s="14"/>
      <c r="P1450" s="19"/>
    </row>
    <row r="1451">
      <c r="A1451" s="40" t="s">
        <v>123</v>
      </c>
      <c r="B1451" s="13">
        <v>0.0</v>
      </c>
      <c r="C1451" s="14"/>
      <c r="D1451" s="28" t="s">
        <v>124</v>
      </c>
      <c r="E1451" s="41"/>
      <c r="F1451" s="41"/>
      <c r="P1451" s="19"/>
    </row>
    <row r="1452">
      <c r="A1452" s="37" t="s">
        <v>125</v>
      </c>
      <c r="B1452" s="38">
        <v>1.0</v>
      </c>
      <c r="C1452" s="14"/>
      <c r="D1452" s="4" t="s">
        <v>126</v>
      </c>
      <c r="E1452" s="25">
        <f t="shared" ref="E1452:E1455" si="249">H1446-E1446</f>
        <v>-40000</v>
      </c>
      <c r="P1452" s="19"/>
    </row>
    <row r="1453">
      <c r="A1453" s="42" t="s">
        <v>127</v>
      </c>
      <c r="C1453" s="14"/>
      <c r="D1453" s="4" t="s">
        <v>128</v>
      </c>
      <c r="E1453" s="25">
        <f t="shared" si="249"/>
        <v>-3333.333333</v>
      </c>
      <c r="P1453" s="19"/>
    </row>
    <row r="1454">
      <c r="A1454" s="32"/>
      <c r="C1454" s="14"/>
      <c r="D1454" s="4" t="s">
        <v>129</v>
      </c>
      <c r="E1454" s="25">
        <f t="shared" si="249"/>
        <v>-16666.66667</v>
      </c>
      <c r="G1454" s="43"/>
      <c r="P1454" s="19"/>
    </row>
    <row r="1455">
      <c r="A1455" s="32"/>
      <c r="C1455" s="14"/>
      <c r="D1455" s="4" t="s">
        <v>130</v>
      </c>
      <c r="E1455" s="25">
        <f t="shared" si="249"/>
        <v>-20000</v>
      </c>
      <c r="P1455" s="19"/>
    </row>
    <row r="1456">
      <c r="A1456" s="24"/>
      <c r="C1456" s="14"/>
      <c r="D1456" s="28" t="s">
        <v>131</v>
      </c>
      <c r="P1456" s="19"/>
    </row>
    <row r="1457">
      <c r="A1457" s="32"/>
      <c r="C1457" s="14"/>
      <c r="D1457" s="4" t="s">
        <v>132</v>
      </c>
      <c r="E1457" s="25">
        <f t="shared" ref="E1457:E1460" si="250">H1446-E1438</f>
        <v>-36363.63636</v>
      </c>
      <c r="P1457" s="19"/>
    </row>
    <row r="1458">
      <c r="A1458" s="32"/>
      <c r="C1458" s="14"/>
      <c r="D1458" s="4" t="s">
        <v>133</v>
      </c>
      <c r="E1458" s="25">
        <f t="shared" si="250"/>
        <v>-3030.30303</v>
      </c>
      <c r="G1458" s="28" t="s">
        <v>134</v>
      </c>
      <c r="I1458" s="35" t="s">
        <v>135</v>
      </c>
      <c r="J1458" s="35" t="s">
        <v>82</v>
      </c>
      <c r="P1458" s="19"/>
    </row>
    <row r="1459">
      <c r="A1459" s="32"/>
      <c r="C1459" s="14"/>
      <c r="D1459" s="4" t="s">
        <v>136</v>
      </c>
      <c r="E1459" s="25">
        <f t="shared" si="250"/>
        <v>-15151.51515</v>
      </c>
      <c r="G1459" s="35" t="s">
        <v>137</v>
      </c>
      <c r="H1459" s="25" t="str">
        <f>(E1432/H1444)-(25/60)</f>
        <v>#DIV/0!</v>
      </c>
      <c r="I1459" s="25" t="str">
        <f t="shared" ref="I1459:I1460" si="251">INT(H1459)</f>
        <v>#DIV/0!</v>
      </c>
      <c r="J1459" s="36" t="str">
        <f t="shared" ref="J1459:J1460" si="252">INT((H1459-I1459)*60)</f>
        <v>#DIV/0!</v>
      </c>
      <c r="P1459" s="19"/>
    </row>
    <row r="1460">
      <c r="A1460" s="44"/>
      <c r="B1460" s="45"/>
      <c r="C1460" s="46"/>
      <c r="D1460" s="47" t="s">
        <v>138</v>
      </c>
      <c r="E1460" s="45">
        <f t="shared" si="250"/>
        <v>-18181.81818</v>
      </c>
      <c r="F1460" s="45"/>
      <c r="G1460" s="48" t="s">
        <v>139</v>
      </c>
      <c r="H1460" s="45" t="str">
        <f>H1432-H1459</f>
        <v>#DIV/0!</v>
      </c>
      <c r="I1460" s="45" t="str">
        <f t="shared" si="251"/>
        <v>#DIV/0!</v>
      </c>
      <c r="J1460" s="49" t="str">
        <f t="shared" si="252"/>
        <v>#DIV/0!</v>
      </c>
      <c r="K1460" s="45"/>
      <c r="L1460" s="45"/>
      <c r="M1460" s="45"/>
      <c r="N1460" s="45"/>
      <c r="O1460" s="45"/>
      <c r="P1460" s="50"/>
    </row>
    <row r="1462">
      <c r="A1462" s="51"/>
      <c r="D1462" s="51"/>
    </row>
    <row r="1463">
      <c r="A1463" s="51"/>
      <c r="B1463" s="51"/>
      <c r="E1463" s="51"/>
      <c r="G1463" s="51"/>
      <c r="H1463" s="51"/>
      <c r="I1463" s="51"/>
    </row>
    <row r="1464">
      <c r="A1464" s="51"/>
      <c r="B1464" s="51"/>
      <c r="D1464" s="51"/>
      <c r="E1464" s="51"/>
      <c r="F1464" s="51"/>
      <c r="G1464" s="51"/>
      <c r="I1464" s="51"/>
    </row>
    <row r="1465">
      <c r="A1465" s="51"/>
      <c r="D1465" s="51"/>
      <c r="E1465" s="51"/>
      <c r="F1465" s="51"/>
      <c r="G1465" s="51"/>
    </row>
    <row r="1466">
      <c r="A1466" s="51"/>
      <c r="B1466" s="51"/>
      <c r="D1466" s="51"/>
      <c r="G1466" s="51"/>
      <c r="H1466" s="51"/>
      <c r="I1466" s="51"/>
    </row>
    <row r="1467">
      <c r="A1467" s="51"/>
      <c r="B1467" s="51"/>
      <c r="F1467" s="51"/>
      <c r="G1467" s="51"/>
    </row>
    <row r="1468">
      <c r="A1468" s="51"/>
      <c r="B1468" s="51"/>
      <c r="F1468" s="51"/>
      <c r="G1468" s="51"/>
    </row>
    <row r="1469">
      <c r="A1469" s="51"/>
      <c r="B1469" s="51"/>
      <c r="D1469" s="51"/>
    </row>
    <row r="1470">
      <c r="A1470" s="6" t="s">
        <v>70</v>
      </c>
      <c r="B1470" s="52"/>
      <c r="C1470" s="8"/>
      <c r="D1470" s="9" t="s">
        <v>71</v>
      </c>
      <c r="E1470" s="10"/>
      <c r="F1470" s="10"/>
      <c r="G1470" s="10"/>
      <c r="H1470" s="10"/>
      <c r="I1470" s="10"/>
      <c r="J1470" s="10"/>
      <c r="K1470" s="9"/>
      <c r="L1470" s="10"/>
      <c r="M1470" s="10"/>
      <c r="N1470" s="10"/>
      <c r="O1470" s="10"/>
      <c r="P1470" s="11"/>
    </row>
    <row r="1471">
      <c r="A1471" s="12" t="s">
        <v>72</v>
      </c>
      <c r="B1471" s="13">
        <v>1000000.0</v>
      </c>
      <c r="C1471" s="14"/>
      <c r="D1471" s="53" t="str">
        <f>B1470</f>
        <v/>
      </c>
      <c r="E1471" s="16" t="s">
        <v>73</v>
      </c>
      <c r="F1471" s="17"/>
      <c r="G1471" s="16" t="s">
        <v>74</v>
      </c>
      <c r="H1471" s="16" t="s">
        <v>75</v>
      </c>
      <c r="I1471" s="16" t="s">
        <v>76</v>
      </c>
      <c r="J1471" s="18" t="s">
        <v>77</v>
      </c>
      <c r="P1471" s="19"/>
    </row>
    <row r="1472">
      <c r="A1472" s="12" t="s">
        <v>78</v>
      </c>
      <c r="B1472" s="13">
        <v>1000000.0</v>
      </c>
      <c r="C1472" s="14"/>
      <c r="D1472" s="20" t="s">
        <v>72</v>
      </c>
      <c r="E1472" s="21">
        <f t="shared" ref="E1472:E1473" si="253">B1471</f>
        <v>1000000</v>
      </c>
      <c r="F1472" s="20" t="s">
        <v>79</v>
      </c>
      <c r="G1472" s="21">
        <f t="shared" ref="G1472:G1473" si="254">B1474</f>
        <v>4</v>
      </c>
      <c r="H1472" s="4">
        <f>G1472+(G1473/60)</f>
        <v>4.166666667</v>
      </c>
      <c r="I1472" s="21">
        <f>B1479</f>
        <v>6</v>
      </c>
      <c r="J1472" s="22" t="s">
        <v>80</v>
      </c>
      <c r="K1472" s="23">
        <f>B1481/B1482</f>
        <v>0</v>
      </c>
      <c r="P1472" s="19"/>
    </row>
    <row r="1473">
      <c r="A1473" s="12" t="s">
        <v>81</v>
      </c>
      <c r="B1473" s="14"/>
      <c r="C1473" s="14"/>
      <c r="D1473" s="20" t="s">
        <v>78</v>
      </c>
      <c r="E1473" s="21">
        <f t="shared" si="253"/>
        <v>1000000</v>
      </c>
      <c r="F1473" s="20" t="s">
        <v>82</v>
      </c>
      <c r="G1473" s="21">
        <f t="shared" si="254"/>
        <v>10</v>
      </c>
      <c r="J1473" s="22" t="s">
        <v>83</v>
      </c>
      <c r="K1473" s="23">
        <f>B1483/B1484</f>
        <v>0</v>
      </c>
      <c r="P1473" s="19"/>
    </row>
    <row r="1474">
      <c r="A1474" s="24" t="s">
        <v>79</v>
      </c>
      <c r="B1474" s="13">
        <v>4.0</v>
      </c>
      <c r="C1474" s="14"/>
      <c r="D1474" s="20" t="s">
        <v>84</v>
      </c>
      <c r="E1474" s="25">
        <f>E1472-E1473</f>
        <v>0</v>
      </c>
      <c r="F1474" s="26"/>
      <c r="G1474" s="16" t="s">
        <v>85</v>
      </c>
      <c r="H1474" s="16" t="s">
        <v>86</v>
      </c>
      <c r="I1474" s="16" t="s">
        <v>87</v>
      </c>
      <c r="J1474" s="22" t="s">
        <v>88</v>
      </c>
      <c r="K1474" s="23">
        <f>B1485/B1486</f>
        <v>0</v>
      </c>
      <c r="P1474" s="19"/>
    </row>
    <row r="1475">
      <c r="A1475" s="24" t="s">
        <v>89</v>
      </c>
      <c r="B1475" s="13">
        <v>10.0</v>
      </c>
      <c r="C1475" s="14"/>
      <c r="D1475" s="16" t="s">
        <v>90</v>
      </c>
      <c r="F1475" s="20" t="s">
        <v>79</v>
      </c>
      <c r="G1475" s="21">
        <f t="shared" ref="G1475:G1476" si="255">B1477</f>
        <v>4</v>
      </c>
      <c r="H1475" s="25">
        <f>G1475+(G1476/60)</f>
        <v>4.166666667</v>
      </c>
      <c r="I1475" s="25">
        <f>H1472-H1475</f>
        <v>0</v>
      </c>
      <c r="J1475" s="22" t="s">
        <v>91</v>
      </c>
      <c r="K1475" s="23">
        <f>B1487/B1488</f>
        <v>0</v>
      </c>
      <c r="P1475" s="19"/>
    </row>
    <row r="1476">
      <c r="A1476" s="12" t="s">
        <v>85</v>
      </c>
      <c r="B1476" s="27"/>
      <c r="C1476" s="14"/>
      <c r="D1476" s="28" t="s">
        <v>92</v>
      </c>
      <c r="E1476" s="25">
        <f>E1472/H1481</f>
        <v>218181.8182</v>
      </c>
      <c r="F1476" s="20" t="s">
        <v>82</v>
      </c>
      <c r="G1476" s="21">
        <f t="shared" si="255"/>
        <v>10</v>
      </c>
      <c r="J1476" s="22" t="s">
        <v>93</v>
      </c>
      <c r="K1476" s="23">
        <f>B1489/B1490</f>
        <v>0</v>
      </c>
      <c r="P1476" s="19"/>
    </row>
    <row r="1477">
      <c r="A1477" s="24" t="s">
        <v>79</v>
      </c>
      <c r="B1477" s="13">
        <v>4.0</v>
      </c>
      <c r="C1477" s="14"/>
      <c r="D1477" s="28" t="s">
        <v>94</v>
      </c>
      <c r="E1477" s="25">
        <f>E1472/I1472</f>
        <v>166666.6667</v>
      </c>
      <c r="J1477" s="22" t="s">
        <v>95</v>
      </c>
      <c r="K1477" s="23">
        <f>B1491/B1492</f>
        <v>0</v>
      </c>
      <c r="P1477" s="19"/>
    </row>
    <row r="1478">
      <c r="A1478" s="24" t="s">
        <v>89</v>
      </c>
      <c r="B1478" s="13">
        <v>10.0</v>
      </c>
      <c r="C1478" s="14"/>
      <c r="D1478" s="28" t="s">
        <v>96</v>
      </c>
      <c r="E1478" s="25">
        <f>E1476/I1472</f>
        <v>36363.63636</v>
      </c>
      <c r="J1478" s="29" t="s">
        <v>97</v>
      </c>
      <c r="K1478" s="30">
        <f>SUM(K1472:K1477)</f>
        <v>0</v>
      </c>
      <c r="P1478" s="19"/>
    </row>
    <row r="1479">
      <c r="A1479" s="12" t="s">
        <v>98</v>
      </c>
      <c r="B1479" s="13">
        <v>6.0</v>
      </c>
      <c r="C1479" s="14"/>
      <c r="D1479" s="28" t="s">
        <v>99</v>
      </c>
      <c r="E1479" s="31">
        <f>E1478/12</f>
        <v>3030.30303</v>
      </c>
      <c r="I1479" s="29"/>
      <c r="J1479" s="29" t="s">
        <v>100</v>
      </c>
      <c r="K1479" s="30">
        <f>H1489</f>
        <v>0</v>
      </c>
      <c r="P1479" s="19"/>
    </row>
    <row r="1480">
      <c r="A1480" s="32"/>
      <c r="B1480" s="14"/>
      <c r="C1480" s="14"/>
      <c r="D1480" s="28" t="s">
        <v>101</v>
      </c>
      <c r="E1480" s="25">
        <f>E1479*5</f>
        <v>15151.51515</v>
      </c>
      <c r="J1480" s="29" t="s">
        <v>102</v>
      </c>
      <c r="K1480" s="30">
        <f>E1481</f>
        <v>18181.81818</v>
      </c>
      <c r="P1480" s="19"/>
    </row>
    <row r="1481">
      <c r="A1481" s="33" t="s">
        <v>103</v>
      </c>
      <c r="B1481" s="34">
        <v>0.0</v>
      </c>
      <c r="C1481" s="14"/>
      <c r="D1481" s="28" t="s">
        <v>104</v>
      </c>
      <c r="E1481" s="25">
        <f>E1479*6</f>
        <v>18181.81818</v>
      </c>
      <c r="G1481" s="35" t="s">
        <v>105</v>
      </c>
      <c r="H1481" s="36">
        <f>H1472+(25/60)</f>
        <v>4.583333333</v>
      </c>
      <c r="J1481" s="29" t="s">
        <v>106</v>
      </c>
      <c r="K1481" s="30">
        <f>E1489</f>
        <v>20000</v>
      </c>
      <c r="P1481" s="19"/>
    </row>
    <row r="1482">
      <c r="A1482" s="37" t="s">
        <v>107</v>
      </c>
      <c r="B1482" s="38">
        <v>1.0</v>
      </c>
      <c r="C1482" s="14"/>
      <c r="G1482" s="35" t="s">
        <v>108</v>
      </c>
      <c r="H1482" s="36">
        <f>I1475+(25/60)</f>
        <v>0.4166666667</v>
      </c>
      <c r="I1482" s="39" t="s">
        <v>109</v>
      </c>
      <c r="P1482" s="19"/>
    </row>
    <row r="1483">
      <c r="A1483" s="40" t="s">
        <v>110</v>
      </c>
      <c r="B1483" s="13">
        <v>0.0</v>
      </c>
      <c r="C1483" s="14"/>
      <c r="D1483" s="16" t="s">
        <v>111</v>
      </c>
      <c r="G1483" s="16" t="s">
        <v>112</v>
      </c>
      <c r="H1483" s="36"/>
      <c r="I1483" s="39" t="s">
        <v>113</v>
      </c>
      <c r="P1483" s="19"/>
    </row>
    <row r="1484">
      <c r="A1484" s="37" t="s">
        <v>114</v>
      </c>
      <c r="B1484" s="38">
        <v>1.0</v>
      </c>
      <c r="C1484" s="14"/>
      <c r="D1484" s="28" t="s">
        <v>92</v>
      </c>
      <c r="E1484" s="25">
        <f>E1473/H1475</f>
        <v>240000</v>
      </c>
      <c r="G1484" s="28" t="s">
        <v>92</v>
      </c>
      <c r="H1484" s="36">
        <f>E1474/H1482</f>
        <v>0</v>
      </c>
      <c r="I1484" s="39" t="s">
        <v>115</v>
      </c>
      <c r="P1484" s="19"/>
    </row>
    <row r="1485">
      <c r="A1485" s="40" t="s">
        <v>116</v>
      </c>
      <c r="B1485" s="13">
        <v>0.0</v>
      </c>
      <c r="C1485" s="14"/>
      <c r="D1485" s="28" t="s">
        <v>94</v>
      </c>
      <c r="E1485" s="25">
        <f>E1473/I1472</f>
        <v>166666.6667</v>
      </c>
      <c r="G1485" s="28" t="s">
        <v>94</v>
      </c>
      <c r="H1485" s="36">
        <f>E1474/I1472</f>
        <v>0</v>
      </c>
      <c r="I1485" s="39" t="s">
        <v>117</v>
      </c>
      <c r="P1485" s="19"/>
    </row>
    <row r="1486">
      <c r="A1486" s="37" t="s">
        <v>118</v>
      </c>
      <c r="B1486" s="38">
        <v>1.0</v>
      </c>
      <c r="C1486" s="14"/>
      <c r="D1486" s="28" t="s">
        <v>96</v>
      </c>
      <c r="E1486" s="25">
        <f>E1485/H1475</f>
        <v>40000</v>
      </c>
      <c r="G1486" s="28" t="s">
        <v>96</v>
      </c>
      <c r="H1486" s="36">
        <f>H1485/H1482</f>
        <v>0</v>
      </c>
      <c r="P1486" s="19"/>
    </row>
    <row r="1487">
      <c r="A1487" s="40" t="s">
        <v>119</v>
      </c>
      <c r="B1487" s="13">
        <v>0.0</v>
      </c>
      <c r="C1487" s="14"/>
      <c r="D1487" s="28" t="s">
        <v>99</v>
      </c>
      <c r="E1487" s="25">
        <f>E1486/12</f>
        <v>3333.333333</v>
      </c>
      <c r="G1487" s="28" t="s">
        <v>99</v>
      </c>
      <c r="H1487" s="36">
        <f>H1486/12</f>
        <v>0</v>
      </c>
      <c r="P1487" s="19"/>
    </row>
    <row r="1488">
      <c r="A1488" s="37" t="s">
        <v>120</v>
      </c>
      <c r="B1488" s="38">
        <v>1.0</v>
      </c>
      <c r="C1488" s="14"/>
      <c r="D1488" s="28" t="s">
        <v>101</v>
      </c>
      <c r="E1488" s="25">
        <f>E1487*5</f>
        <v>16666.66667</v>
      </c>
      <c r="G1488" s="28" t="s">
        <v>101</v>
      </c>
      <c r="H1488" s="36">
        <f>H1487*5</f>
        <v>0</v>
      </c>
      <c r="P1488" s="19"/>
    </row>
    <row r="1489">
      <c r="A1489" s="40" t="s">
        <v>121</v>
      </c>
      <c r="B1489" s="13">
        <v>0.0</v>
      </c>
      <c r="C1489" s="14"/>
      <c r="D1489" s="28" t="s">
        <v>104</v>
      </c>
      <c r="E1489" s="25">
        <f>E1487*6</f>
        <v>20000</v>
      </c>
      <c r="G1489" s="28" t="s">
        <v>104</v>
      </c>
      <c r="H1489" s="36">
        <f>H1487*6</f>
        <v>0</v>
      </c>
      <c r="P1489" s="19"/>
    </row>
    <row r="1490">
      <c r="A1490" s="37" t="s">
        <v>122</v>
      </c>
      <c r="B1490" s="38">
        <v>1.0</v>
      </c>
      <c r="C1490" s="14"/>
      <c r="P1490" s="19"/>
    </row>
    <row r="1491">
      <c r="A1491" s="40" t="s">
        <v>123</v>
      </c>
      <c r="B1491" s="13">
        <v>0.0</v>
      </c>
      <c r="C1491" s="14"/>
      <c r="D1491" s="28" t="s">
        <v>124</v>
      </c>
      <c r="E1491" s="41"/>
      <c r="F1491" s="41"/>
      <c r="P1491" s="19"/>
    </row>
    <row r="1492">
      <c r="A1492" s="37" t="s">
        <v>125</v>
      </c>
      <c r="B1492" s="38">
        <v>1.0</v>
      </c>
      <c r="C1492" s="14"/>
      <c r="D1492" s="4" t="s">
        <v>126</v>
      </c>
      <c r="E1492" s="25">
        <f t="shared" ref="E1492:E1495" si="256">H1486-E1486</f>
        <v>-40000</v>
      </c>
      <c r="P1492" s="19"/>
    </row>
    <row r="1493">
      <c r="A1493" s="42" t="s">
        <v>127</v>
      </c>
      <c r="C1493" s="14"/>
      <c r="D1493" s="4" t="s">
        <v>128</v>
      </c>
      <c r="E1493" s="25">
        <f t="shared" si="256"/>
        <v>-3333.333333</v>
      </c>
      <c r="P1493" s="19"/>
    </row>
    <row r="1494">
      <c r="A1494" s="32"/>
      <c r="C1494" s="14"/>
      <c r="D1494" s="4" t="s">
        <v>129</v>
      </c>
      <c r="E1494" s="25">
        <f t="shared" si="256"/>
        <v>-16666.66667</v>
      </c>
      <c r="G1494" s="43"/>
      <c r="P1494" s="19"/>
    </row>
    <row r="1495">
      <c r="A1495" s="32"/>
      <c r="C1495" s="14"/>
      <c r="D1495" s="4" t="s">
        <v>130</v>
      </c>
      <c r="E1495" s="25">
        <f t="shared" si="256"/>
        <v>-20000</v>
      </c>
      <c r="P1495" s="19"/>
    </row>
    <row r="1496">
      <c r="A1496" s="24"/>
      <c r="C1496" s="14"/>
      <c r="D1496" s="28" t="s">
        <v>131</v>
      </c>
      <c r="P1496" s="19"/>
    </row>
    <row r="1497">
      <c r="A1497" s="32"/>
      <c r="C1497" s="14"/>
      <c r="D1497" s="4" t="s">
        <v>132</v>
      </c>
      <c r="E1497" s="25">
        <f t="shared" ref="E1497:E1500" si="257">H1486-E1478</f>
        <v>-36363.63636</v>
      </c>
      <c r="P1497" s="19"/>
    </row>
    <row r="1498">
      <c r="A1498" s="32"/>
      <c r="C1498" s="14"/>
      <c r="D1498" s="4" t="s">
        <v>133</v>
      </c>
      <c r="E1498" s="25">
        <f t="shared" si="257"/>
        <v>-3030.30303</v>
      </c>
      <c r="G1498" s="28" t="s">
        <v>134</v>
      </c>
      <c r="I1498" s="35" t="s">
        <v>135</v>
      </c>
      <c r="J1498" s="35" t="s">
        <v>82</v>
      </c>
      <c r="P1498" s="19"/>
    </row>
    <row r="1499">
      <c r="A1499" s="32"/>
      <c r="C1499" s="14"/>
      <c r="D1499" s="4" t="s">
        <v>136</v>
      </c>
      <c r="E1499" s="25">
        <f t="shared" si="257"/>
        <v>-15151.51515</v>
      </c>
      <c r="G1499" s="35" t="s">
        <v>137</v>
      </c>
      <c r="H1499" s="25" t="str">
        <f>(E1472/H1484)-(25/60)</f>
        <v>#DIV/0!</v>
      </c>
      <c r="I1499" s="25" t="str">
        <f t="shared" ref="I1499:I1500" si="258">INT(H1499)</f>
        <v>#DIV/0!</v>
      </c>
      <c r="J1499" s="36" t="str">
        <f t="shared" ref="J1499:J1500" si="259">INT((H1499-I1499)*60)</f>
        <v>#DIV/0!</v>
      </c>
      <c r="P1499" s="19"/>
    </row>
    <row r="1500">
      <c r="A1500" s="44"/>
      <c r="B1500" s="45"/>
      <c r="C1500" s="46"/>
      <c r="D1500" s="47" t="s">
        <v>138</v>
      </c>
      <c r="E1500" s="45">
        <f t="shared" si="257"/>
        <v>-18181.81818</v>
      </c>
      <c r="F1500" s="45"/>
      <c r="G1500" s="48" t="s">
        <v>139</v>
      </c>
      <c r="H1500" s="45" t="str">
        <f>H1472-H1499</f>
        <v>#DIV/0!</v>
      </c>
      <c r="I1500" s="45" t="str">
        <f t="shared" si="258"/>
        <v>#DIV/0!</v>
      </c>
      <c r="J1500" s="49" t="str">
        <f t="shared" si="259"/>
        <v>#DIV/0!</v>
      </c>
      <c r="K1500" s="45"/>
      <c r="L1500" s="45"/>
      <c r="M1500" s="45"/>
      <c r="N1500" s="45"/>
      <c r="O1500" s="45"/>
      <c r="P1500" s="50"/>
    </row>
    <row r="1501">
      <c r="A1501" s="51"/>
      <c r="B1501" s="51"/>
      <c r="D1501" s="51"/>
    </row>
    <row r="1502">
      <c r="D1502" s="51"/>
      <c r="I1502" s="51"/>
    </row>
    <row r="1503">
      <c r="D1503" s="51"/>
      <c r="I1503" s="51"/>
    </row>
    <row r="1504">
      <c r="A1504" s="51"/>
      <c r="D1504" s="51"/>
      <c r="G1504" s="51"/>
    </row>
    <row r="1505">
      <c r="A1505" s="51"/>
      <c r="G1505" s="51"/>
    </row>
    <row r="1506">
      <c r="A1506" s="51"/>
      <c r="D1506" s="51"/>
      <c r="G1506" s="51"/>
    </row>
    <row r="1507">
      <c r="A1507" s="51"/>
      <c r="D1507" s="51"/>
      <c r="G1507" s="51"/>
    </row>
    <row r="1508">
      <c r="A1508" s="51"/>
      <c r="D1508" s="51"/>
      <c r="G1508" s="51"/>
    </row>
    <row r="1509">
      <c r="A1509" s="51"/>
      <c r="D1509" s="51"/>
      <c r="G1509" s="51"/>
    </row>
    <row r="1510">
      <c r="A1510" s="6" t="s">
        <v>70</v>
      </c>
      <c r="B1510" s="52"/>
      <c r="C1510" s="8"/>
      <c r="D1510" s="9" t="s">
        <v>71</v>
      </c>
      <c r="E1510" s="10"/>
      <c r="F1510" s="10"/>
      <c r="G1510" s="10"/>
      <c r="H1510" s="10"/>
      <c r="I1510" s="10"/>
      <c r="J1510" s="10"/>
      <c r="K1510" s="9"/>
      <c r="L1510" s="10"/>
      <c r="M1510" s="10"/>
      <c r="N1510" s="10"/>
      <c r="O1510" s="10"/>
      <c r="P1510" s="11"/>
    </row>
    <row r="1511">
      <c r="A1511" s="12" t="s">
        <v>72</v>
      </c>
      <c r="B1511" s="13">
        <v>1000000.0</v>
      </c>
      <c r="C1511" s="14"/>
      <c r="D1511" s="53" t="str">
        <f>B1510</f>
        <v/>
      </c>
      <c r="E1511" s="16" t="s">
        <v>73</v>
      </c>
      <c r="F1511" s="17"/>
      <c r="G1511" s="16" t="s">
        <v>74</v>
      </c>
      <c r="H1511" s="16" t="s">
        <v>75</v>
      </c>
      <c r="I1511" s="16" t="s">
        <v>76</v>
      </c>
      <c r="J1511" s="18" t="s">
        <v>77</v>
      </c>
      <c r="P1511" s="19"/>
    </row>
    <row r="1512">
      <c r="A1512" s="12" t="s">
        <v>78</v>
      </c>
      <c r="B1512" s="13">
        <v>1000000.0</v>
      </c>
      <c r="C1512" s="14"/>
      <c r="D1512" s="20" t="s">
        <v>72</v>
      </c>
      <c r="E1512" s="21">
        <f t="shared" ref="E1512:E1513" si="260">B1511</f>
        <v>1000000</v>
      </c>
      <c r="F1512" s="20" t="s">
        <v>79</v>
      </c>
      <c r="G1512" s="21">
        <f t="shared" ref="G1512:G1513" si="261">B1514</f>
        <v>4</v>
      </c>
      <c r="H1512" s="4">
        <f>G1512+(G1513/60)</f>
        <v>4.166666667</v>
      </c>
      <c r="I1512" s="21">
        <f>B1519</f>
        <v>6</v>
      </c>
      <c r="J1512" s="22" t="s">
        <v>80</v>
      </c>
      <c r="K1512" s="23">
        <f>B1521/B1522</f>
        <v>0</v>
      </c>
      <c r="P1512" s="19"/>
    </row>
    <row r="1513">
      <c r="A1513" s="12" t="s">
        <v>81</v>
      </c>
      <c r="B1513" s="14"/>
      <c r="C1513" s="14"/>
      <c r="D1513" s="20" t="s">
        <v>78</v>
      </c>
      <c r="E1513" s="21">
        <f t="shared" si="260"/>
        <v>1000000</v>
      </c>
      <c r="F1513" s="20" t="s">
        <v>82</v>
      </c>
      <c r="G1513" s="21">
        <f t="shared" si="261"/>
        <v>10</v>
      </c>
      <c r="J1513" s="22" t="s">
        <v>83</v>
      </c>
      <c r="K1513" s="23">
        <f>B1523/B1524</f>
        <v>0</v>
      </c>
      <c r="P1513" s="19"/>
    </row>
    <row r="1514">
      <c r="A1514" s="24" t="s">
        <v>79</v>
      </c>
      <c r="B1514" s="13">
        <v>4.0</v>
      </c>
      <c r="C1514" s="14"/>
      <c r="D1514" s="20" t="s">
        <v>84</v>
      </c>
      <c r="E1514" s="25">
        <f>E1512-E1513</f>
        <v>0</v>
      </c>
      <c r="F1514" s="26"/>
      <c r="G1514" s="16" t="s">
        <v>85</v>
      </c>
      <c r="H1514" s="16" t="s">
        <v>86</v>
      </c>
      <c r="I1514" s="16" t="s">
        <v>87</v>
      </c>
      <c r="J1514" s="22" t="s">
        <v>88</v>
      </c>
      <c r="K1514" s="23">
        <f>B1525/B1526</f>
        <v>0</v>
      </c>
      <c r="P1514" s="19"/>
    </row>
    <row r="1515">
      <c r="A1515" s="24" t="s">
        <v>89</v>
      </c>
      <c r="B1515" s="13">
        <v>10.0</v>
      </c>
      <c r="C1515" s="14"/>
      <c r="D1515" s="16" t="s">
        <v>90</v>
      </c>
      <c r="F1515" s="20" t="s">
        <v>79</v>
      </c>
      <c r="G1515" s="21">
        <f t="shared" ref="G1515:G1516" si="262">B1517</f>
        <v>4</v>
      </c>
      <c r="H1515" s="25">
        <f>G1515+(G1516/60)</f>
        <v>4.166666667</v>
      </c>
      <c r="I1515" s="25">
        <f>H1512-H1515</f>
        <v>0</v>
      </c>
      <c r="J1515" s="22" t="s">
        <v>91</v>
      </c>
      <c r="K1515" s="23">
        <f>B1527/B1528</f>
        <v>0</v>
      </c>
      <c r="P1515" s="19"/>
    </row>
    <row r="1516">
      <c r="A1516" s="12" t="s">
        <v>85</v>
      </c>
      <c r="B1516" s="27"/>
      <c r="C1516" s="14"/>
      <c r="D1516" s="28" t="s">
        <v>92</v>
      </c>
      <c r="E1516" s="25">
        <f>E1512/H1521</f>
        <v>218181.8182</v>
      </c>
      <c r="F1516" s="20" t="s">
        <v>82</v>
      </c>
      <c r="G1516" s="21">
        <f t="shared" si="262"/>
        <v>10</v>
      </c>
      <c r="J1516" s="22" t="s">
        <v>93</v>
      </c>
      <c r="K1516" s="23">
        <f>B1529/B1530</f>
        <v>0</v>
      </c>
      <c r="P1516" s="19"/>
    </row>
    <row r="1517">
      <c r="A1517" s="24" t="s">
        <v>79</v>
      </c>
      <c r="B1517" s="13">
        <v>4.0</v>
      </c>
      <c r="C1517" s="14"/>
      <c r="D1517" s="28" t="s">
        <v>94</v>
      </c>
      <c r="E1517" s="25">
        <f>E1512/I1512</f>
        <v>166666.6667</v>
      </c>
      <c r="J1517" s="22" t="s">
        <v>95</v>
      </c>
      <c r="K1517" s="23">
        <f>B1531/B1532</f>
        <v>0</v>
      </c>
      <c r="P1517" s="19"/>
    </row>
    <row r="1518">
      <c r="A1518" s="24" t="s">
        <v>89</v>
      </c>
      <c r="B1518" s="13">
        <v>10.0</v>
      </c>
      <c r="C1518" s="14"/>
      <c r="D1518" s="28" t="s">
        <v>96</v>
      </c>
      <c r="E1518" s="25">
        <f>E1516/I1512</f>
        <v>36363.63636</v>
      </c>
      <c r="J1518" s="29" t="s">
        <v>97</v>
      </c>
      <c r="K1518" s="30">
        <f>SUM(K1512:K1517)</f>
        <v>0</v>
      </c>
      <c r="P1518" s="19"/>
    </row>
    <row r="1519">
      <c r="A1519" s="12" t="s">
        <v>98</v>
      </c>
      <c r="B1519" s="13">
        <v>6.0</v>
      </c>
      <c r="C1519" s="14"/>
      <c r="D1519" s="28" t="s">
        <v>99</v>
      </c>
      <c r="E1519" s="31">
        <f>E1518/12</f>
        <v>3030.30303</v>
      </c>
      <c r="I1519" s="29"/>
      <c r="J1519" s="29" t="s">
        <v>100</v>
      </c>
      <c r="K1519" s="30">
        <f>H1529</f>
        <v>0</v>
      </c>
      <c r="P1519" s="19"/>
    </row>
    <row r="1520">
      <c r="A1520" s="32"/>
      <c r="B1520" s="14"/>
      <c r="C1520" s="14"/>
      <c r="D1520" s="28" t="s">
        <v>101</v>
      </c>
      <c r="E1520" s="25">
        <f>E1519*5</f>
        <v>15151.51515</v>
      </c>
      <c r="J1520" s="29" t="s">
        <v>102</v>
      </c>
      <c r="K1520" s="30">
        <f>E1521</f>
        <v>18181.81818</v>
      </c>
      <c r="P1520" s="19"/>
    </row>
    <row r="1521">
      <c r="A1521" s="33" t="s">
        <v>103</v>
      </c>
      <c r="B1521" s="34">
        <v>0.0</v>
      </c>
      <c r="C1521" s="14"/>
      <c r="D1521" s="28" t="s">
        <v>104</v>
      </c>
      <c r="E1521" s="25">
        <f>E1519*6</f>
        <v>18181.81818</v>
      </c>
      <c r="G1521" s="35" t="s">
        <v>105</v>
      </c>
      <c r="H1521" s="36">
        <f>H1512+(25/60)</f>
        <v>4.583333333</v>
      </c>
      <c r="J1521" s="29" t="s">
        <v>106</v>
      </c>
      <c r="K1521" s="30">
        <f>E1529</f>
        <v>20000</v>
      </c>
      <c r="P1521" s="19"/>
    </row>
    <row r="1522">
      <c r="A1522" s="37" t="s">
        <v>107</v>
      </c>
      <c r="B1522" s="38">
        <v>1.0</v>
      </c>
      <c r="C1522" s="14"/>
      <c r="G1522" s="35" t="s">
        <v>108</v>
      </c>
      <c r="H1522" s="36">
        <f>I1515+(25/60)</f>
        <v>0.4166666667</v>
      </c>
      <c r="I1522" s="39" t="s">
        <v>109</v>
      </c>
      <c r="P1522" s="19"/>
    </row>
    <row r="1523">
      <c r="A1523" s="40" t="s">
        <v>110</v>
      </c>
      <c r="B1523" s="13">
        <v>0.0</v>
      </c>
      <c r="C1523" s="14"/>
      <c r="D1523" s="16" t="s">
        <v>111</v>
      </c>
      <c r="G1523" s="16" t="s">
        <v>112</v>
      </c>
      <c r="H1523" s="36"/>
      <c r="I1523" s="39" t="s">
        <v>113</v>
      </c>
      <c r="P1523" s="19"/>
    </row>
    <row r="1524">
      <c r="A1524" s="37" t="s">
        <v>114</v>
      </c>
      <c r="B1524" s="38">
        <v>1.0</v>
      </c>
      <c r="C1524" s="14"/>
      <c r="D1524" s="28" t="s">
        <v>92</v>
      </c>
      <c r="E1524" s="25">
        <f>E1513/H1515</f>
        <v>240000</v>
      </c>
      <c r="G1524" s="28" t="s">
        <v>92</v>
      </c>
      <c r="H1524" s="36">
        <f>E1514/H1522</f>
        <v>0</v>
      </c>
      <c r="I1524" s="39" t="s">
        <v>115</v>
      </c>
      <c r="P1524" s="19"/>
    </row>
    <row r="1525">
      <c r="A1525" s="40" t="s">
        <v>116</v>
      </c>
      <c r="B1525" s="13">
        <v>0.0</v>
      </c>
      <c r="C1525" s="14"/>
      <c r="D1525" s="28" t="s">
        <v>94</v>
      </c>
      <c r="E1525" s="25">
        <f>E1513/I1512</f>
        <v>166666.6667</v>
      </c>
      <c r="G1525" s="28" t="s">
        <v>94</v>
      </c>
      <c r="H1525" s="36">
        <f>E1514/I1512</f>
        <v>0</v>
      </c>
      <c r="I1525" s="39" t="s">
        <v>117</v>
      </c>
      <c r="P1525" s="19"/>
    </row>
    <row r="1526">
      <c r="A1526" s="37" t="s">
        <v>118</v>
      </c>
      <c r="B1526" s="38">
        <v>1.0</v>
      </c>
      <c r="C1526" s="14"/>
      <c r="D1526" s="28" t="s">
        <v>96</v>
      </c>
      <c r="E1526" s="25">
        <f>E1525/H1515</f>
        <v>40000</v>
      </c>
      <c r="G1526" s="28" t="s">
        <v>96</v>
      </c>
      <c r="H1526" s="36">
        <f>H1525/H1522</f>
        <v>0</v>
      </c>
      <c r="P1526" s="19"/>
    </row>
    <row r="1527">
      <c r="A1527" s="40" t="s">
        <v>119</v>
      </c>
      <c r="B1527" s="13">
        <v>0.0</v>
      </c>
      <c r="C1527" s="14"/>
      <c r="D1527" s="28" t="s">
        <v>99</v>
      </c>
      <c r="E1527" s="25">
        <f>E1526/12</f>
        <v>3333.333333</v>
      </c>
      <c r="G1527" s="28" t="s">
        <v>99</v>
      </c>
      <c r="H1527" s="36">
        <f>H1526/12</f>
        <v>0</v>
      </c>
      <c r="P1527" s="19"/>
    </row>
    <row r="1528">
      <c r="A1528" s="37" t="s">
        <v>120</v>
      </c>
      <c r="B1528" s="38">
        <v>1.0</v>
      </c>
      <c r="C1528" s="14"/>
      <c r="D1528" s="28" t="s">
        <v>101</v>
      </c>
      <c r="E1528" s="25">
        <f>E1527*5</f>
        <v>16666.66667</v>
      </c>
      <c r="G1528" s="28" t="s">
        <v>101</v>
      </c>
      <c r="H1528" s="36">
        <f>H1527*5</f>
        <v>0</v>
      </c>
      <c r="P1528" s="19"/>
    </row>
    <row r="1529">
      <c r="A1529" s="40" t="s">
        <v>121</v>
      </c>
      <c r="B1529" s="13">
        <v>0.0</v>
      </c>
      <c r="C1529" s="14"/>
      <c r="D1529" s="28" t="s">
        <v>104</v>
      </c>
      <c r="E1529" s="25">
        <f>E1527*6</f>
        <v>20000</v>
      </c>
      <c r="G1529" s="28" t="s">
        <v>104</v>
      </c>
      <c r="H1529" s="36">
        <f>H1527*6</f>
        <v>0</v>
      </c>
      <c r="P1529" s="19"/>
    </row>
    <row r="1530">
      <c r="A1530" s="37" t="s">
        <v>122</v>
      </c>
      <c r="B1530" s="38">
        <v>1.0</v>
      </c>
      <c r="C1530" s="14"/>
      <c r="P1530" s="19"/>
    </row>
    <row r="1531">
      <c r="A1531" s="40" t="s">
        <v>123</v>
      </c>
      <c r="B1531" s="13">
        <v>0.0</v>
      </c>
      <c r="C1531" s="14"/>
      <c r="D1531" s="28" t="s">
        <v>124</v>
      </c>
      <c r="E1531" s="41"/>
      <c r="F1531" s="41"/>
      <c r="P1531" s="19"/>
    </row>
    <row r="1532">
      <c r="A1532" s="37" t="s">
        <v>125</v>
      </c>
      <c r="B1532" s="38">
        <v>1.0</v>
      </c>
      <c r="C1532" s="14"/>
      <c r="D1532" s="4" t="s">
        <v>126</v>
      </c>
      <c r="E1532" s="25">
        <f t="shared" ref="E1532:E1535" si="263">H1526-E1526</f>
        <v>-40000</v>
      </c>
      <c r="P1532" s="19"/>
    </row>
    <row r="1533">
      <c r="A1533" s="42" t="s">
        <v>127</v>
      </c>
      <c r="C1533" s="14"/>
      <c r="D1533" s="4" t="s">
        <v>128</v>
      </c>
      <c r="E1533" s="25">
        <f t="shared" si="263"/>
        <v>-3333.333333</v>
      </c>
      <c r="P1533" s="19"/>
    </row>
    <row r="1534">
      <c r="A1534" s="32"/>
      <c r="C1534" s="14"/>
      <c r="D1534" s="4" t="s">
        <v>129</v>
      </c>
      <c r="E1534" s="25">
        <f t="shared" si="263"/>
        <v>-16666.66667</v>
      </c>
      <c r="G1534" s="43"/>
      <c r="P1534" s="19"/>
    </row>
    <row r="1535">
      <c r="A1535" s="32"/>
      <c r="C1535" s="14"/>
      <c r="D1535" s="4" t="s">
        <v>130</v>
      </c>
      <c r="E1535" s="25">
        <f t="shared" si="263"/>
        <v>-20000</v>
      </c>
      <c r="P1535" s="19"/>
    </row>
    <row r="1536">
      <c r="A1536" s="24"/>
      <c r="C1536" s="14"/>
      <c r="D1536" s="28" t="s">
        <v>131</v>
      </c>
      <c r="P1536" s="19"/>
    </row>
    <row r="1537">
      <c r="A1537" s="32"/>
      <c r="C1537" s="14"/>
      <c r="D1537" s="4" t="s">
        <v>132</v>
      </c>
      <c r="E1537" s="25">
        <f t="shared" ref="E1537:E1540" si="264">H1526-E1518</f>
        <v>-36363.63636</v>
      </c>
      <c r="P1537" s="19"/>
    </row>
    <row r="1538">
      <c r="A1538" s="32"/>
      <c r="C1538" s="14"/>
      <c r="D1538" s="4" t="s">
        <v>133</v>
      </c>
      <c r="E1538" s="25">
        <f t="shared" si="264"/>
        <v>-3030.30303</v>
      </c>
      <c r="G1538" s="28" t="s">
        <v>134</v>
      </c>
      <c r="I1538" s="35" t="s">
        <v>135</v>
      </c>
      <c r="J1538" s="35" t="s">
        <v>82</v>
      </c>
      <c r="P1538" s="19"/>
    </row>
    <row r="1539">
      <c r="A1539" s="32"/>
      <c r="C1539" s="14"/>
      <c r="D1539" s="4" t="s">
        <v>136</v>
      </c>
      <c r="E1539" s="25">
        <f t="shared" si="264"/>
        <v>-15151.51515</v>
      </c>
      <c r="G1539" s="35" t="s">
        <v>137</v>
      </c>
      <c r="H1539" s="25" t="str">
        <f>(E1512/H1524)-(25/60)</f>
        <v>#DIV/0!</v>
      </c>
      <c r="I1539" s="25" t="str">
        <f t="shared" ref="I1539:I1540" si="265">INT(H1539)</f>
        <v>#DIV/0!</v>
      </c>
      <c r="J1539" s="36" t="str">
        <f t="shared" ref="J1539:J1540" si="266">INT((H1539-I1539)*60)</f>
        <v>#DIV/0!</v>
      </c>
      <c r="P1539" s="19"/>
    </row>
    <row r="1540">
      <c r="A1540" s="44"/>
      <c r="B1540" s="45"/>
      <c r="C1540" s="46"/>
      <c r="D1540" s="47" t="s">
        <v>138</v>
      </c>
      <c r="E1540" s="45">
        <f t="shared" si="264"/>
        <v>-18181.81818</v>
      </c>
      <c r="F1540" s="45"/>
      <c r="G1540" s="48" t="s">
        <v>139</v>
      </c>
      <c r="H1540" s="45" t="str">
        <f>H1512-H1539</f>
        <v>#DIV/0!</v>
      </c>
      <c r="I1540" s="45" t="str">
        <f t="shared" si="265"/>
        <v>#DIV/0!</v>
      </c>
      <c r="J1540" s="49" t="str">
        <f t="shared" si="266"/>
        <v>#DIV/0!</v>
      </c>
      <c r="K1540" s="45"/>
      <c r="L1540" s="45"/>
      <c r="M1540" s="45"/>
      <c r="N1540" s="45"/>
      <c r="O1540" s="45"/>
      <c r="P1540" s="50"/>
    </row>
    <row r="1541">
      <c r="A1541" s="51"/>
      <c r="D1541" s="51"/>
      <c r="G1541" s="51"/>
    </row>
    <row r="1542">
      <c r="A1542" s="51"/>
    </row>
    <row r="1543">
      <c r="A1543" s="51"/>
      <c r="D1543" s="51"/>
    </row>
    <row r="1544">
      <c r="A1544" s="51"/>
    </row>
    <row r="1545">
      <c r="A1545" s="51"/>
      <c r="G1545" s="51"/>
    </row>
    <row r="1547">
      <c r="D1547" s="51"/>
    </row>
    <row r="1550">
      <c r="A1550" s="6" t="s">
        <v>70</v>
      </c>
      <c r="B1550" s="52"/>
      <c r="C1550" s="8"/>
      <c r="D1550" s="9" t="s">
        <v>71</v>
      </c>
      <c r="E1550" s="10"/>
      <c r="F1550" s="10"/>
      <c r="G1550" s="10"/>
      <c r="H1550" s="10"/>
      <c r="I1550" s="10"/>
      <c r="J1550" s="10"/>
      <c r="K1550" s="9"/>
      <c r="L1550" s="10"/>
      <c r="M1550" s="10"/>
      <c r="N1550" s="10"/>
      <c r="O1550" s="10"/>
      <c r="P1550" s="11"/>
    </row>
    <row r="1551">
      <c r="A1551" s="12" t="s">
        <v>72</v>
      </c>
      <c r="B1551" s="13">
        <v>1000000.0</v>
      </c>
      <c r="C1551" s="14"/>
      <c r="D1551" s="53" t="str">
        <f>B1550</f>
        <v/>
      </c>
      <c r="E1551" s="16" t="s">
        <v>73</v>
      </c>
      <c r="F1551" s="17"/>
      <c r="G1551" s="16" t="s">
        <v>74</v>
      </c>
      <c r="H1551" s="16" t="s">
        <v>75</v>
      </c>
      <c r="I1551" s="16" t="s">
        <v>76</v>
      </c>
      <c r="J1551" s="18" t="s">
        <v>77</v>
      </c>
      <c r="P1551" s="19"/>
    </row>
    <row r="1552">
      <c r="A1552" s="12" t="s">
        <v>78</v>
      </c>
      <c r="B1552" s="13">
        <v>1000000.0</v>
      </c>
      <c r="C1552" s="14"/>
      <c r="D1552" s="20" t="s">
        <v>72</v>
      </c>
      <c r="E1552" s="21">
        <f t="shared" ref="E1552:E1553" si="267">B1551</f>
        <v>1000000</v>
      </c>
      <c r="F1552" s="20" t="s">
        <v>79</v>
      </c>
      <c r="G1552" s="21">
        <f t="shared" ref="G1552:G1553" si="268">B1554</f>
        <v>4</v>
      </c>
      <c r="H1552" s="4">
        <f>G1552+(G1553/60)</f>
        <v>4.166666667</v>
      </c>
      <c r="I1552" s="21">
        <f>B1559</f>
        <v>6</v>
      </c>
      <c r="J1552" s="22" t="s">
        <v>80</v>
      </c>
      <c r="K1552" s="23">
        <f>B1561/B1562</f>
        <v>0</v>
      </c>
      <c r="P1552" s="19"/>
    </row>
    <row r="1553">
      <c r="A1553" s="12" t="s">
        <v>81</v>
      </c>
      <c r="B1553" s="14"/>
      <c r="C1553" s="14"/>
      <c r="D1553" s="20" t="s">
        <v>78</v>
      </c>
      <c r="E1553" s="21">
        <f t="shared" si="267"/>
        <v>1000000</v>
      </c>
      <c r="F1553" s="20" t="s">
        <v>82</v>
      </c>
      <c r="G1553" s="21">
        <f t="shared" si="268"/>
        <v>10</v>
      </c>
      <c r="J1553" s="22" t="s">
        <v>83</v>
      </c>
      <c r="K1553" s="23">
        <f>B1563/B1564</f>
        <v>0</v>
      </c>
      <c r="P1553" s="19"/>
    </row>
    <row r="1554">
      <c r="A1554" s="24" t="s">
        <v>79</v>
      </c>
      <c r="B1554" s="13">
        <v>4.0</v>
      </c>
      <c r="C1554" s="14"/>
      <c r="D1554" s="20" t="s">
        <v>84</v>
      </c>
      <c r="E1554" s="25">
        <f>E1552-E1553</f>
        <v>0</v>
      </c>
      <c r="F1554" s="26"/>
      <c r="G1554" s="16" t="s">
        <v>85</v>
      </c>
      <c r="H1554" s="16" t="s">
        <v>86</v>
      </c>
      <c r="I1554" s="16" t="s">
        <v>87</v>
      </c>
      <c r="J1554" s="22" t="s">
        <v>88</v>
      </c>
      <c r="K1554" s="23">
        <f>B1565/B1566</f>
        <v>0</v>
      </c>
      <c r="P1554" s="19"/>
    </row>
    <row r="1555">
      <c r="A1555" s="24" t="s">
        <v>89</v>
      </c>
      <c r="B1555" s="13">
        <v>10.0</v>
      </c>
      <c r="C1555" s="14"/>
      <c r="D1555" s="16" t="s">
        <v>90</v>
      </c>
      <c r="F1555" s="20" t="s">
        <v>79</v>
      </c>
      <c r="G1555" s="21">
        <f t="shared" ref="G1555:G1556" si="269">B1557</f>
        <v>4</v>
      </c>
      <c r="H1555" s="25">
        <f>G1555+(G1556/60)</f>
        <v>4.166666667</v>
      </c>
      <c r="I1555" s="25">
        <f>H1552-H1555</f>
        <v>0</v>
      </c>
      <c r="J1555" s="22" t="s">
        <v>91</v>
      </c>
      <c r="K1555" s="23">
        <f>B1567/B1568</f>
        <v>0</v>
      </c>
      <c r="P1555" s="19"/>
    </row>
    <row r="1556">
      <c r="A1556" s="12" t="s">
        <v>85</v>
      </c>
      <c r="B1556" s="27"/>
      <c r="C1556" s="14"/>
      <c r="D1556" s="28" t="s">
        <v>92</v>
      </c>
      <c r="E1556" s="25">
        <f>E1552/H1561</f>
        <v>218181.8182</v>
      </c>
      <c r="F1556" s="20" t="s">
        <v>82</v>
      </c>
      <c r="G1556" s="21">
        <f t="shared" si="269"/>
        <v>10</v>
      </c>
      <c r="J1556" s="22" t="s">
        <v>93</v>
      </c>
      <c r="K1556" s="23">
        <f>B1569/B1570</f>
        <v>0</v>
      </c>
      <c r="P1556" s="19"/>
    </row>
    <row r="1557">
      <c r="A1557" s="24" t="s">
        <v>79</v>
      </c>
      <c r="B1557" s="13">
        <v>4.0</v>
      </c>
      <c r="C1557" s="14"/>
      <c r="D1557" s="28" t="s">
        <v>94</v>
      </c>
      <c r="E1557" s="25">
        <f>E1552/I1552</f>
        <v>166666.6667</v>
      </c>
      <c r="J1557" s="22" t="s">
        <v>95</v>
      </c>
      <c r="K1557" s="23">
        <f>B1571/B1572</f>
        <v>0</v>
      </c>
      <c r="P1557" s="19"/>
    </row>
    <row r="1558">
      <c r="A1558" s="24" t="s">
        <v>89</v>
      </c>
      <c r="B1558" s="13">
        <v>10.0</v>
      </c>
      <c r="C1558" s="14"/>
      <c r="D1558" s="28" t="s">
        <v>96</v>
      </c>
      <c r="E1558" s="25">
        <f>E1556/I1552</f>
        <v>36363.63636</v>
      </c>
      <c r="J1558" s="29" t="s">
        <v>97</v>
      </c>
      <c r="K1558" s="30">
        <f>SUM(K1552:K1557)</f>
        <v>0</v>
      </c>
      <c r="P1558" s="19"/>
    </row>
    <row r="1559">
      <c r="A1559" s="12" t="s">
        <v>98</v>
      </c>
      <c r="B1559" s="13">
        <v>6.0</v>
      </c>
      <c r="C1559" s="14"/>
      <c r="D1559" s="28" t="s">
        <v>99</v>
      </c>
      <c r="E1559" s="31">
        <f>E1558/12</f>
        <v>3030.30303</v>
      </c>
      <c r="I1559" s="29"/>
      <c r="J1559" s="29" t="s">
        <v>100</v>
      </c>
      <c r="K1559" s="30">
        <f>H1569</f>
        <v>0</v>
      </c>
      <c r="P1559" s="19"/>
    </row>
    <row r="1560">
      <c r="A1560" s="32"/>
      <c r="B1560" s="14"/>
      <c r="C1560" s="14"/>
      <c r="D1560" s="28" t="s">
        <v>101</v>
      </c>
      <c r="E1560" s="25">
        <f>E1559*5</f>
        <v>15151.51515</v>
      </c>
      <c r="J1560" s="29" t="s">
        <v>102</v>
      </c>
      <c r="K1560" s="30">
        <f>E1561</f>
        <v>18181.81818</v>
      </c>
      <c r="P1560" s="19"/>
    </row>
    <row r="1561">
      <c r="A1561" s="33" t="s">
        <v>103</v>
      </c>
      <c r="B1561" s="34">
        <v>0.0</v>
      </c>
      <c r="C1561" s="14"/>
      <c r="D1561" s="28" t="s">
        <v>104</v>
      </c>
      <c r="E1561" s="25">
        <f>E1559*6</f>
        <v>18181.81818</v>
      </c>
      <c r="G1561" s="35" t="s">
        <v>105</v>
      </c>
      <c r="H1561" s="36">
        <f>H1552+(25/60)</f>
        <v>4.583333333</v>
      </c>
      <c r="J1561" s="29" t="s">
        <v>106</v>
      </c>
      <c r="K1561" s="30">
        <f>E1569</f>
        <v>20000</v>
      </c>
      <c r="P1561" s="19"/>
    </row>
    <row r="1562">
      <c r="A1562" s="37" t="s">
        <v>107</v>
      </c>
      <c r="B1562" s="38">
        <v>1.0</v>
      </c>
      <c r="C1562" s="14"/>
      <c r="G1562" s="35" t="s">
        <v>108</v>
      </c>
      <c r="H1562" s="36">
        <f>I1555+(25/60)</f>
        <v>0.4166666667</v>
      </c>
      <c r="I1562" s="39" t="s">
        <v>109</v>
      </c>
      <c r="P1562" s="19"/>
    </row>
    <row r="1563">
      <c r="A1563" s="40" t="s">
        <v>110</v>
      </c>
      <c r="B1563" s="13">
        <v>0.0</v>
      </c>
      <c r="C1563" s="14"/>
      <c r="D1563" s="16" t="s">
        <v>111</v>
      </c>
      <c r="G1563" s="16" t="s">
        <v>112</v>
      </c>
      <c r="H1563" s="36"/>
      <c r="I1563" s="39" t="s">
        <v>113</v>
      </c>
      <c r="P1563" s="19"/>
    </row>
    <row r="1564">
      <c r="A1564" s="37" t="s">
        <v>114</v>
      </c>
      <c r="B1564" s="38">
        <v>1.0</v>
      </c>
      <c r="C1564" s="14"/>
      <c r="D1564" s="28" t="s">
        <v>92</v>
      </c>
      <c r="E1564" s="25">
        <f>E1553/H1555</f>
        <v>240000</v>
      </c>
      <c r="G1564" s="28" t="s">
        <v>92</v>
      </c>
      <c r="H1564" s="36">
        <f>E1554/H1562</f>
        <v>0</v>
      </c>
      <c r="I1564" s="39" t="s">
        <v>115</v>
      </c>
      <c r="P1564" s="19"/>
    </row>
    <row r="1565">
      <c r="A1565" s="40" t="s">
        <v>116</v>
      </c>
      <c r="B1565" s="13">
        <v>0.0</v>
      </c>
      <c r="C1565" s="14"/>
      <c r="D1565" s="28" t="s">
        <v>94</v>
      </c>
      <c r="E1565" s="25">
        <f>E1553/I1552</f>
        <v>166666.6667</v>
      </c>
      <c r="G1565" s="28" t="s">
        <v>94</v>
      </c>
      <c r="H1565" s="36">
        <f>E1554/I1552</f>
        <v>0</v>
      </c>
      <c r="I1565" s="39" t="s">
        <v>117</v>
      </c>
      <c r="P1565" s="19"/>
    </row>
    <row r="1566">
      <c r="A1566" s="37" t="s">
        <v>118</v>
      </c>
      <c r="B1566" s="38">
        <v>1.0</v>
      </c>
      <c r="C1566" s="14"/>
      <c r="D1566" s="28" t="s">
        <v>96</v>
      </c>
      <c r="E1566" s="25">
        <f>E1565/H1555</f>
        <v>40000</v>
      </c>
      <c r="G1566" s="28" t="s">
        <v>96</v>
      </c>
      <c r="H1566" s="36">
        <f>H1565/H1562</f>
        <v>0</v>
      </c>
      <c r="P1566" s="19"/>
    </row>
    <row r="1567">
      <c r="A1567" s="40" t="s">
        <v>119</v>
      </c>
      <c r="B1567" s="13">
        <v>0.0</v>
      </c>
      <c r="C1567" s="14"/>
      <c r="D1567" s="28" t="s">
        <v>99</v>
      </c>
      <c r="E1567" s="25">
        <f>E1566/12</f>
        <v>3333.333333</v>
      </c>
      <c r="G1567" s="28" t="s">
        <v>99</v>
      </c>
      <c r="H1567" s="36">
        <f>H1566/12</f>
        <v>0</v>
      </c>
      <c r="P1567" s="19"/>
    </row>
    <row r="1568">
      <c r="A1568" s="37" t="s">
        <v>120</v>
      </c>
      <c r="B1568" s="38">
        <v>1.0</v>
      </c>
      <c r="C1568" s="14"/>
      <c r="D1568" s="28" t="s">
        <v>101</v>
      </c>
      <c r="E1568" s="25">
        <f>E1567*5</f>
        <v>16666.66667</v>
      </c>
      <c r="G1568" s="28" t="s">
        <v>101</v>
      </c>
      <c r="H1568" s="36">
        <f>H1567*5</f>
        <v>0</v>
      </c>
      <c r="P1568" s="19"/>
    </row>
    <row r="1569">
      <c r="A1569" s="40" t="s">
        <v>121</v>
      </c>
      <c r="B1569" s="13">
        <v>0.0</v>
      </c>
      <c r="C1569" s="14"/>
      <c r="D1569" s="28" t="s">
        <v>104</v>
      </c>
      <c r="E1569" s="25">
        <f>E1567*6</f>
        <v>20000</v>
      </c>
      <c r="G1569" s="28" t="s">
        <v>104</v>
      </c>
      <c r="H1569" s="36">
        <f>H1567*6</f>
        <v>0</v>
      </c>
      <c r="P1569" s="19"/>
    </row>
    <row r="1570">
      <c r="A1570" s="37" t="s">
        <v>122</v>
      </c>
      <c r="B1570" s="38">
        <v>1.0</v>
      </c>
      <c r="C1570" s="14"/>
      <c r="P1570" s="19"/>
    </row>
    <row r="1571">
      <c r="A1571" s="40" t="s">
        <v>123</v>
      </c>
      <c r="B1571" s="13">
        <v>0.0</v>
      </c>
      <c r="C1571" s="14"/>
      <c r="D1571" s="28" t="s">
        <v>124</v>
      </c>
      <c r="E1571" s="41"/>
      <c r="F1571" s="41"/>
      <c r="P1571" s="19"/>
    </row>
    <row r="1572">
      <c r="A1572" s="37" t="s">
        <v>125</v>
      </c>
      <c r="B1572" s="38">
        <v>1.0</v>
      </c>
      <c r="C1572" s="14"/>
      <c r="D1572" s="4" t="s">
        <v>126</v>
      </c>
      <c r="E1572" s="25">
        <f t="shared" ref="E1572:E1575" si="270">H1566-E1566</f>
        <v>-40000</v>
      </c>
      <c r="P1572" s="19"/>
    </row>
    <row r="1573">
      <c r="A1573" s="42" t="s">
        <v>127</v>
      </c>
      <c r="C1573" s="14"/>
      <c r="D1573" s="4" t="s">
        <v>128</v>
      </c>
      <c r="E1573" s="25">
        <f t="shared" si="270"/>
        <v>-3333.333333</v>
      </c>
      <c r="P1573" s="19"/>
    </row>
    <row r="1574">
      <c r="A1574" s="32"/>
      <c r="C1574" s="14"/>
      <c r="D1574" s="4" t="s">
        <v>129</v>
      </c>
      <c r="E1574" s="25">
        <f t="shared" si="270"/>
        <v>-16666.66667</v>
      </c>
      <c r="G1574" s="43"/>
      <c r="P1574" s="19"/>
    </row>
    <row r="1575">
      <c r="A1575" s="32"/>
      <c r="C1575" s="14"/>
      <c r="D1575" s="4" t="s">
        <v>130</v>
      </c>
      <c r="E1575" s="25">
        <f t="shared" si="270"/>
        <v>-20000</v>
      </c>
      <c r="P1575" s="19"/>
    </row>
    <row r="1576">
      <c r="A1576" s="24"/>
      <c r="C1576" s="14"/>
      <c r="D1576" s="28" t="s">
        <v>131</v>
      </c>
      <c r="P1576" s="19"/>
    </row>
    <row r="1577">
      <c r="A1577" s="32"/>
      <c r="C1577" s="14"/>
      <c r="D1577" s="4" t="s">
        <v>132</v>
      </c>
      <c r="E1577" s="25">
        <f t="shared" ref="E1577:E1580" si="271">H1566-E1558</f>
        <v>-36363.63636</v>
      </c>
      <c r="P1577" s="19"/>
    </row>
    <row r="1578">
      <c r="A1578" s="32"/>
      <c r="C1578" s="14"/>
      <c r="D1578" s="4" t="s">
        <v>133</v>
      </c>
      <c r="E1578" s="25">
        <f t="shared" si="271"/>
        <v>-3030.30303</v>
      </c>
      <c r="G1578" s="28" t="s">
        <v>134</v>
      </c>
      <c r="I1578" s="35" t="s">
        <v>135</v>
      </c>
      <c r="J1578" s="35" t="s">
        <v>82</v>
      </c>
      <c r="P1578" s="19"/>
    </row>
    <row r="1579">
      <c r="A1579" s="32"/>
      <c r="C1579" s="14"/>
      <c r="D1579" s="4" t="s">
        <v>136</v>
      </c>
      <c r="E1579" s="25">
        <f t="shared" si="271"/>
        <v>-15151.51515</v>
      </c>
      <c r="G1579" s="35" t="s">
        <v>137</v>
      </c>
      <c r="H1579" s="25" t="str">
        <f>(E1552/H1564)-(25/60)</f>
        <v>#DIV/0!</v>
      </c>
      <c r="I1579" s="25" t="str">
        <f t="shared" ref="I1579:I1580" si="272">INT(H1579)</f>
        <v>#DIV/0!</v>
      </c>
      <c r="J1579" s="36" t="str">
        <f t="shared" ref="J1579:J1580" si="273">INT((H1579-I1579)*60)</f>
        <v>#DIV/0!</v>
      </c>
      <c r="P1579" s="19"/>
    </row>
    <row r="1580">
      <c r="A1580" s="44"/>
      <c r="B1580" s="45"/>
      <c r="C1580" s="46"/>
      <c r="D1580" s="47" t="s">
        <v>138</v>
      </c>
      <c r="E1580" s="45">
        <f t="shared" si="271"/>
        <v>-18181.81818</v>
      </c>
      <c r="F1580" s="45"/>
      <c r="G1580" s="48" t="s">
        <v>139</v>
      </c>
      <c r="H1580" s="45" t="str">
        <f>H1552-H1579</f>
        <v>#DIV/0!</v>
      </c>
      <c r="I1580" s="45" t="str">
        <f t="shared" si="272"/>
        <v>#DIV/0!</v>
      </c>
      <c r="J1580" s="49" t="str">
        <f t="shared" si="273"/>
        <v>#DIV/0!</v>
      </c>
      <c r="K1580" s="45"/>
      <c r="L1580" s="45"/>
      <c r="M1580" s="45"/>
      <c r="N1580" s="45"/>
      <c r="O1580" s="45"/>
      <c r="P1580" s="50"/>
    </row>
    <row r="1581">
      <c r="A1581" s="51"/>
      <c r="B1581" s="51"/>
      <c r="D1581" s="51"/>
    </row>
    <row r="1582">
      <c r="D1582" s="51"/>
      <c r="I1582" s="51"/>
    </row>
    <row r="1583">
      <c r="D1583" s="51"/>
      <c r="I1583" s="51"/>
    </row>
    <row r="1584">
      <c r="A1584" s="51"/>
      <c r="D1584" s="51"/>
      <c r="G1584" s="51"/>
    </row>
    <row r="1585">
      <c r="A1585" s="51"/>
      <c r="G1585" s="51"/>
    </row>
    <row r="1586">
      <c r="A1586" s="51"/>
      <c r="D1586" s="51"/>
      <c r="G1586" s="51"/>
    </row>
    <row r="1587">
      <c r="A1587" s="51"/>
      <c r="D1587" s="51"/>
      <c r="G1587" s="51"/>
    </row>
    <row r="1588">
      <c r="A1588" s="51"/>
      <c r="D1588" s="51"/>
      <c r="G1588" s="51"/>
    </row>
    <row r="1589">
      <c r="A1589" s="51"/>
      <c r="D1589" s="51"/>
      <c r="G1589" s="51"/>
    </row>
    <row r="1590">
      <c r="A1590" s="6" t="s">
        <v>70</v>
      </c>
      <c r="B1590" s="52"/>
      <c r="C1590" s="8"/>
      <c r="D1590" s="9" t="s">
        <v>71</v>
      </c>
      <c r="E1590" s="10"/>
      <c r="F1590" s="10"/>
      <c r="G1590" s="10"/>
      <c r="H1590" s="10"/>
      <c r="I1590" s="10"/>
      <c r="J1590" s="10"/>
      <c r="K1590" s="9"/>
      <c r="L1590" s="10"/>
      <c r="M1590" s="10"/>
      <c r="N1590" s="10"/>
      <c r="O1590" s="10"/>
      <c r="P1590" s="11"/>
    </row>
    <row r="1591">
      <c r="A1591" s="12" t="s">
        <v>72</v>
      </c>
      <c r="B1591" s="13">
        <v>1000000.0</v>
      </c>
      <c r="C1591" s="14"/>
      <c r="D1591" s="53" t="str">
        <f>B1590</f>
        <v/>
      </c>
      <c r="E1591" s="16" t="s">
        <v>73</v>
      </c>
      <c r="F1591" s="17"/>
      <c r="G1591" s="16" t="s">
        <v>74</v>
      </c>
      <c r="H1591" s="16" t="s">
        <v>75</v>
      </c>
      <c r="I1591" s="16" t="s">
        <v>76</v>
      </c>
      <c r="J1591" s="18" t="s">
        <v>77</v>
      </c>
      <c r="P1591" s="19"/>
    </row>
    <row r="1592">
      <c r="A1592" s="12" t="s">
        <v>78</v>
      </c>
      <c r="B1592" s="13">
        <v>1000000.0</v>
      </c>
      <c r="C1592" s="14"/>
      <c r="D1592" s="20" t="s">
        <v>72</v>
      </c>
      <c r="E1592" s="21">
        <f t="shared" ref="E1592:E1593" si="274">B1591</f>
        <v>1000000</v>
      </c>
      <c r="F1592" s="20" t="s">
        <v>79</v>
      </c>
      <c r="G1592" s="21">
        <f t="shared" ref="G1592:G1593" si="275">B1594</f>
        <v>4</v>
      </c>
      <c r="H1592" s="4">
        <f>G1592+(G1593/60)</f>
        <v>4.166666667</v>
      </c>
      <c r="I1592" s="21">
        <f>B1599</f>
        <v>6</v>
      </c>
      <c r="J1592" s="22" t="s">
        <v>80</v>
      </c>
      <c r="K1592" s="23">
        <f>B1601/B1602</f>
        <v>0</v>
      </c>
      <c r="P1592" s="19"/>
    </row>
    <row r="1593">
      <c r="A1593" s="12" t="s">
        <v>81</v>
      </c>
      <c r="B1593" s="14"/>
      <c r="C1593" s="14"/>
      <c r="D1593" s="20" t="s">
        <v>78</v>
      </c>
      <c r="E1593" s="21">
        <f t="shared" si="274"/>
        <v>1000000</v>
      </c>
      <c r="F1593" s="20" t="s">
        <v>82</v>
      </c>
      <c r="G1593" s="21">
        <f t="shared" si="275"/>
        <v>10</v>
      </c>
      <c r="J1593" s="22" t="s">
        <v>83</v>
      </c>
      <c r="K1593" s="23">
        <f>B1603/B1604</f>
        <v>0</v>
      </c>
      <c r="P1593" s="19"/>
    </row>
    <row r="1594">
      <c r="A1594" s="24" t="s">
        <v>79</v>
      </c>
      <c r="B1594" s="13">
        <v>4.0</v>
      </c>
      <c r="C1594" s="14"/>
      <c r="D1594" s="20" t="s">
        <v>84</v>
      </c>
      <c r="E1594" s="25">
        <f>E1592-E1593</f>
        <v>0</v>
      </c>
      <c r="F1594" s="26"/>
      <c r="G1594" s="16" t="s">
        <v>85</v>
      </c>
      <c r="H1594" s="16" t="s">
        <v>86</v>
      </c>
      <c r="I1594" s="16" t="s">
        <v>87</v>
      </c>
      <c r="J1594" s="22" t="s">
        <v>88</v>
      </c>
      <c r="K1594" s="23">
        <f>B1605/B1606</f>
        <v>0</v>
      </c>
      <c r="P1594" s="19"/>
    </row>
    <row r="1595">
      <c r="A1595" s="24" t="s">
        <v>89</v>
      </c>
      <c r="B1595" s="13">
        <v>10.0</v>
      </c>
      <c r="C1595" s="14"/>
      <c r="D1595" s="16" t="s">
        <v>90</v>
      </c>
      <c r="F1595" s="20" t="s">
        <v>79</v>
      </c>
      <c r="G1595" s="21">
        <f t="shared" ref="G1595:G1596" si="276">B1597</f>
        <v>4</v>
      </c>
      <c r="H1595" s="25">
        <f>G1595+(G1596/60)</f>
        <v>4.166666667</v>
      </c>
      <c r="I1595" s="25">
        <f>H1592-H1595</f>
        <v>0</v>
      </c>
      <c r="J1595" s="22" t="s">
        <v>91</v>
      </c>
      <c r="K1595" s="23">
        <f>B1607/B1608</f>
        <v>0</v>
      </c>
      <c r="P1595" s="19"/>
    </row>
    <row r="1596">
      <c r="A1596" s="12" t="s">
        <v>85</v>
      </c>
      <c r="B1596" s="27"/>
      <c r="C1596" s="14"/>
      <c r="D1596" s="28" t="s">
        <v>92</v>
      </c>
      <c r="E1596" s="25">
        <f>E1592/H1601</f>
        <v>218181.8182</v>
      </c>
      <c r="F1596" s="20" t="s">
        <v>82</v>
      </c>
      <c r="G1596" s="21">
        <f t="shared" si="276"/>
        <v>10</v>
      </c>
      <c r="J1596" s="22" t="s">
        <v>93</v>
      </c>
      <c r="K1596" s="23">
        <f>B1609/B1610</f>
        <v>0</v>
      </c>
      <c r="P1596" s="19"/>
    </row>
    <row r="1597">
      <c r="A1597" s="24" t="s">
        <v>79</v>
      </c>
      <c r="B1597" s="13">
        <v>4.0</v>
      </c>
      <c r="C1597" s="14"/>
      <c r="D1597" s="28" t="s">
        <v>94</v>
      </c>
      <c r="E1597" s="25">
        <f>E1592/I1592</f>
        <v>166666.6667</v>
      </c>
      <c r="J1597" s="22" t="s">
        <v>95</v>
      </c>
      <c r="K1597" s="23">
        <f>B1611/B1612</f>
        <v>0</v>
      </c>
      <c r="P1597" s="19"/>
    </row>
    <row r="1598">
      <c r="A1598" s="24" t="s">
        <v>89</v>
      </c>
      <c r="B1598" s="13">
        <v>10.0</v>
      </c>
      <c r="C1598" s="14"/>
      <c r="D1598" s="28" t="s">
        <v>96</v>
      </c>
      <c r="E1598" s="25">
        <f>E1596/I1592</f>
        <v>36363.63636</v>
      </c>
      <c r="J1598" s="29" t="s">
        <v>97</v>
      </c>
      <c r="K1598" s="30">
        <f>SUM(K1592:K1597)</f>
        <v>0</v>
      </c>
      <c r="P1598" s="19"/>
    </row>
    <row r="1599">
      <c r="A1599" s="12" t="s">
        <v>98</v>
      </c>
      <c r="B1599" s="13">
        <v>6.0</v>
      </c>
      <c r="C1599" s="14"/>
      <c r="D1599" s="28" t="s">
        <v>99</v>
      </c>
      <c r="E1599" s="31">
        <f>E1598/12</f>
        <v>3030.30303</v>
      </c>
      <c r="I1599" s="29"/>
      <c r="J1599" s="29" t="s">
        <v>100</v>
      </c>
      <c r="K1599" s="30">
        <f>H1609</f>
        <v>0</v>
      </c>
      <c r="P1599" s="19"/>
    </row>
    <row r="1600">
      <c r="A1600" s="32"/>
      <c r="B1600" s="14"/>
      <c r="C1600" s="14"/>
      <c r="D1600" s="28" t="s">
        <v>101</v>
      </c>
      <c r="E1600" s="25">
        <f>E1599*5</f>
        <v>15151.51515</v>
      </c>
      <c r="J1600" s="29" t="s">
        <v>102</v>
      </c>
      <c r="K1600" s="30">
        <f>E1601</f>
        <v>18181.81818</v>
      </c>
      <c r="P1600" s="19"/>
    </row>
    <row r="1601">
      <c r="A1601" s="33" t="s">
        <v>103</v>
      </c>
      <c r="B1601" s="34">
        <v>0.0</v>
      </c>
      <c r="C1601" s="14"/>
      <c r="D1601" s="28" t="s">
        <v>104</v>
      </c>
      <c r="E1601" s="25">
        <f>E1599*6</f>
        <v>18181.81818</v>
      </c>
      <c r="G1601" s="35" t="s">
        <v>105</v>
      </c>
      <c r="H1601" s="36">
        <f>H1592+(25/60)</f>
        <v>4.583333333</v>
      </c>
      <c r="J1601" s="29" t="s">
        <v>106</v>
      </c>
      <c r="K1601" s="30">
        <f>E1609</f>
        <v>20000</v>
      </c>
      <c r="P1601" s="19"/>
    </row>
    <row r="1602">
      <c r="A1602" s="37" t="s">
        <v>107</v>
      </c>
      <c r="B1602" s="38">
        <v>1.0</v>
      </c>
      <c r="C1602" s="14"/>
      <c r="G1602" s="35" t="s">
        <v>108</v>
      </c>
      <c r="H1602" s="36">
        <f>I1595+(25/60)</f>
        <v>0.4166666667</v>
      </c>
      <c r="I1602" s="39" t="s">
        <v>109</v>
      </c>
      <c r="P1602" s="19"/>
    </row>
    <row r="1603">
      <c r="A1603" s="40" t="s">
        <v>110</v>
      </c>
      <c r="B1603" s="13">
        <v>0.0</v>
      </c>
      <c r="C1603" s="14"/>
      <c r="D1603" s="16" t="s">
        <v>111</v>
      </c>
      <c r="G1603" s="16" t="s">
        <v>112</v>
      </c>
      <c r="H1603" s="36"/>
      <c r="I1603" s="39" t="s">
        <v>113</v>
      </c>
      <c r="P1603" s="19"/>
    </row>
    <row r="1604">
      <c r="A1604" s="37" t="s">
        <v>114</v>
      </c>
      <c r="B1604" s="38">
        <v>1.0</v>
      </c>
      <c r="C1604" s="14"/>
      <c r="D1604" s="28" t="s">
        <v>92</v>
      </c>
      <c r="E1604" s="25">
        <f>E1593/H1595</f>
        <v>240000</v>
      </c>
      <c r="G1604" s="28" t="s">
        <v>92</v>
      </c>
      <c r="H1604" s="36">
        <f>E1594/H1602</f>
        <v>0</v>
      </c>
      <c r="I1604" s="39" t="s">
        <v>115</v>
      </c>
      <c r="P1604" s="19"/>
    </row>
    <row r="1605">
      <c r="A1605" s="40" t="s">
        <v>116</v>
      </c>
      <c r="B1605" s="13">
        <v>0.0</v>
      </c>
      <c r="C1605" s="14"/>
      <c r="D1605" s="28" t="s">
        <v>94</v>
      </c>
      <c r="E1605" s="25">
        <f>E1593/I1592</f>
        <v>166666.6667</v>
      </c>
      <c r="G1605" s="28" t="s">
        <v>94</v>
      </c>
      <c r="H1605" s="36">
        <f>E1594/I1592</f>
        <v>0</v>
      </c>
      <c r="I1605" s="39" t="s">
        <v>117</v>
      </c>
      <c r="P1605" s="19"/>
    </row>
    <row r="1606">
      <c r="A1606" s="37" t="s">
        <v>118</v>
      </c>
      <c r="B1606" s="38">
        <v>1.0</v>
      </c>
      <c r="C1606" s="14"/>
      <c r="D1606" s="28" t="s">
        <v>96</v>
      </c>
      <c r="E1606" s="25">
        <f>E1605/H1595</f>
        <v>40000</v>
      </c>
      <c r="G1606" s="28" t="s">
        <v>96</v>
      </c>
      <c r="H1606" s="36">
        <f>H1605/H1602</f>
        <v>0</v>
      </c>
      <c r="P1606" s="19"/>
    </row>
    <row r="1607">
      <c r="A1607" s="40" t="s">
        <v>119</v>
      </c>
      <c r="B1607" s="13">
        <v>0.0</v>
      </c>
      <c r="C1607" s="14"/>
      <c r="D1607" s="28" t="s">
        <v>99</v>
      </c>
      <c r="E1607" s="25">
        <f>E1606/12</f>
        <v>3333.333333</v>
      </c>
      <c r="G1607" s="28" t="s">
        <v>99</v>
      </c>
      <c r="H1607" s="36">
        <f>H1606/12</f>
        <v>0</v>
      </c>
      <c r="P1607" s="19"/>
    </row>
    <row r="1608">
      <c r="A1608" s="37" t="s">
        <v>120</v>
      </c>
      <c r="B1608" s="38">
        <v>1.0</v>
      </c>
      <c r="C1608" s="14"/>
      <c r="D1608" s="28" t="s">
        <v>101</v>
      </c>
      <c r="E1608" s="25">
        <f>E1607*5</f>
        <v>16666.66667</v>
      </c>
      <c r="G1608" s="28" t="s">
        <v>101</v>
      </c>
      <c r="H1608" s="36">
        <f>H1607*5</f>
        <v>0</v>
      </c>
      <c r="P1608" s="19"/>
    </row>
    <row r="1609">
      <c r="A1609" s="40" t="s">
        <v>121</v>
      </c>
      <c r="B1609" s="13">
        <v>0.0</v>
      </c>
      <c r="C1609" s="14"/>
      <c r="D1609" s="28" t="s">
        <v>104</v>
      </c>
      <c r="E1609" s="25">
        <f>E1607*6</f>
        <v>20000</v>
      </c>
      <c r="G1609" s="28" t="s">
        <v>104</v>
      </c>
      <c r="H1609" s="36">
        <f>H1607*6</f>
        <v>0</v>
      </c>
      <c r="P1609" s="19"/>
    </row>
    <row r="1610">
      <c r="A1610" s="37" t="s">
        <v>122</v>
      </c>
      <c r="B1610" s="38">
        <v>1.0</v>
      </c>
      <c r="C1610" s="14"/>
      <c r="P1610" s="19"/>
    </row>
    <row r="1611">
      <c r="A1611" s="40" t="s">
        <v>123</v>
      </c>
      <c r="B1611" s="13">
        <v>0.0</v>
      </c>
      <c r="C1611" s="14"/>
      <c r="D1611" s="28" t="s">
        <v>124</v>
      </c>
      <c r="E1611" s="41"/>
      <c r="F1611" s="41"/>
      <c r="P1611" s="19"/>
    </row>
    <row r="1612">
      <c r="A1612" s="37" t="s">
        <v>125</v>
      </c>
      <c r="B1612" s="38">
        <v>1.0</v>
      </c>
      <c r="C1612" s="14"/>
      <c r="D1612" s="4" t="s">
        <v>126</v>
      </c>
      <c r="E1612" s="25">
        <f t="shared" ref="E1612:E1615" si="277">H1606-E1606</f>
        <v>-40000</v>
      </c>
      <c r="P1612" s="19"/>
    </row>
    <row r="1613">
      <c r="A1613" s="42" t="s">
        <v>127</v>
      </c>
      <c r="C1613" s="14"/>
      <c r="D1613" s="4" t="s">
        <v>128</v>
      </c>
      <c r="E1613" s="25">
        <f t="shared" si="277"/>
        <v>-3333.333333</v>
      </c>
      <c r="P1613" s="19"/>
    </row>
    <row r="1614">
      <c r="A1614" s="32"/>
      <c r="C1614" s="14"/>
      <c r="D1614" s="4" t="s">
        <v>129</v>
      </c>
      <c r="E1614" s="25">
        <f t="shared" si="277"/>
        <v>-16666.66667</v>
      </c>
      <c r="G1614" s="43"/>
      <c r="P1614" s="19"/>
    </row>
    <row r="1615">
      <c r="A1615" s="32"/>
      <c r="C1615" s="14"/>
      <c r="D1615" s="4" t="s">
        <v>130</v>
      </c>
      <c r="E1615" s="25">
        <f t="shared" si="277"/>
        <v>-20000</v>
      </c>
      <c r="P1615" s="19"/>
    </row>
    <row r="1616">
      <c r="A1616" s="24"/>
      <c r="C1616" s="14"/>
      <c r="D1616" s="28" t="s">
        <v>131</v>
      </c>
      <c r="P1616" s="19"/>
    </row>
    <row r="1617">
      <c r="A1617" s="32"/>
      <c r="C1617" s="14"/>
      <c r="D1617" s="4" t="s">
        <v>132</v>
      </c>
      <c r="E1617" s="25">
        <f t="shared" ref="E1617:E1620" si="278">H1606-E1598</f>
        <v>-36363.63636</v>
      </c>
      <c r="P1617" s="19"/>
    </row>
    <row r="1618">
      <c r="A1618" s="32"/>
      <c r="C1618" s="14"/>
      <c r="D1618" s="4" t="s">
        <v>133</v>
      </c>
      <c r="E1618" s="25">
        <f t="shared" si="278"/>
        <v>-3030.30303</v>
      </c>
      <c r="G1618" s="28" t="s">
        <v>134</v>
      </c>
      <c r="I1618" s="35" t="s">
        <v>135</v>
      </c>
      <c r="J1618" s="35" t="s">
        <v>82</v>
      </c>
      <c r="P1618" s="19"/>
    </row>
    <row r="1619">
      <c r="A1619" s="32"/>
      <c r="C1619" s="14"/>
      <c r="D1619" s="4" t="s">
        <v>136</v>
      </c>
      <c r="E1619" s="25">
        <f t="shared" si="278"/>
        <v>-15151.51515</v>
      </c>
      <c r="G1619" s="35" t="s">
        <v>137</v>
      </c>
      <c r="H1619" s="25" t="str">
        <f>(E1592/H1604)-(25/60)</f>
        <v>#DIV/0!</v>
      </c>
      <c r="I1619" s="25" t="str">
        <f t="shared" ref="I1619:I1620" si="279">INT(H1619)</f>
        <v>#DIV/0!</v>
      </c>
      <c r="J1619" s="36" t="str">
        <f t="shared" ref="J1619:J1620" si="280">INT((H1619-I1619)*60)</f>
        <v>#DIV/0!</v>
      </c>
      <c r="P1619" s="19"/>
    </row>
    <row r="1620">
      <c r="A1620" s="44"/>
      <c r="B1620" s="45"/>
      <c r="C1620" s="46"/>
      <c r="D1620" s="47" t="s">
        <v>138</v>
      </c>
      <c r="E1620" s="45">
        <f t="shared" si="278"/>
        <v>-18181.81818</v>
      </c>
      <c r="F1620" s="45"/>
      <c r="G1620" s="48" t="s">
        <v>139</v>
      </c>
      <c r="H1620" s="45" t="str">
        <f>H1592-H1619</f>
        <v>#DIV/0!</v>
      </c>
      <c r="I1620" s="45" t="str">
        <f t="shared" si="279"/>
        <v>#DIV/0!</v>
      </c>
      <c r="J1620" s="49" t="str">
        <f t="shared" si="280"/>
        <v>#DIV/0!</v>
      </c>
      <c r="K1620" s="45"/>
      <c r="L1620" s="45"/>
      <c r="M1620" s="45"/>
      <c r="N1620" s="45"/>
      <c r="O1620" s="45"/>
      <c r="P1620" s="50"/>
    </row>
    <row r="1621">
      <c r="A1621" s="51"/>
      <c r="B1621" s="51"/>
      <c r="D1621" s="51"/>
    </row>
    <row r="1622">
      <c r="D1622" s="51"/>
      <c r="I1622" s="51"/>
    </row>
    <row r="1623">
      <c r="D1623" s="51"/>
      <c r="I1623" s="51"/>
    </row>
    <row r="1624">
      <c r="D1624" s="51"/>
      <c r="G1624" s="51"/>
    </row>
    <row r="1625">
      <c r="G1625" s="51"/>
    </row>
    <row r="1626">
      <c r="D1626" s="51"/>
      <c r="G1626" s="51"/>
    </row>
    <row r="1627">
      <c r="D1627" s="51"/>
      <c r="G1627" s="51"/>
    </row>
    <row r="1628">
      <c r="D1628" s="51"/>
      <c r="G1628" s="51"/>
    </row>
    <row r="1629">
      <c r="D1629" s="51"/>
      <c r="G1629" s="51"/>
    </row>
    <row r="1630">
      <c r="A1630" s="6" t="s">
        <v>70</v>
      </c>
      <c r="B1630" s="52"/>
      <c r="C1630" s="8"/>
      <c r="D1630" s="9" t="s">
        <v>71</v>
      </c>
      <c r="E1630" s="10"/>
      <c r="F1630" s="10"/>
      <c r="G1630" s="10"/>
      <c r="H1630" s="10"/>
      <c r="I1630" s="10"/>
      <c r="J1630" s="10"/>
      <c r="K1630" s="9"/>
      <c r="L1630" s="10"/>
      <c r="M1630" s="10"/>
      <c r="N1630" s="10"/>
      <c r="O1630" s="10"/>
      <c r="P1630" s="11"/>
    </row>
    <row r="1631">
      <c r="A1631" s="12" t="s">
        <v>72</v>
      </c>
      <c r="B1631" s="13">
        <v>1000000.0</v>
      </c>
      <c r="C1631" s="14"/>
      <c r="D1631" s="53" t="str">
        <f>B1630</f>
        <v/>
      </c>
      <c r="E1631" s="16" t="s">
        <v>73</v>
      </c>
      <c r="F1631" s="17"/>
      <c r="G1631" s="16" t="s">
        <v>74</v>
      </c>
      <c r="H1631" s="16" t="s">
        <v>75</v>
      </c>
      <c r="I1631" s="16" t="s">
        <v>76</v>
      </c>
      <c r="J1631" s="18" t="s">
        <v>77</v>
      </c>
      <c r="P1631" s="19"/>
    </row>
    <row r="1632">
      <c r="A1632" s="12" t="s">
        <v>78</v>
      </c>
      <c r="B1632" s="13">
        <v>1000000.0</v>
      </c>
      <c r="C1632" s="14"/>
      <c r="D1632" s="20" t="s">
        <v>72</v>
      </c>
      <c r="E1632" s="21">
        <f t="shared" ref="E1632:E1633" si="281">B1631</f>
        <v>1000000</v>
      </c>
      <c r="F1632" s="20" t="s">
        <v>79</v>
      </c>
      <c r="G1632" s="21">
        <f t="shared" ref="G1632:G1633" si="282">B1634</f>
        <v>4</v>
      </c>
      <c r="H1632" s="4">
        <f>G1632+(G1633/60)</f>
        <v>4.166666667</v>
      </c>
      <c r="I1632" s="21">
        <f>B1639</f>
        <v>6</v>
      </c>
      <c r="J1632" s="22" t="s">
        <v>80</v>
      </c>
      <c r="K1632" s="23">
        <f>B1641/B1642</f>
        <v>0</v>
      </c>
      <c r="P1632" s="19"/>
    </row>
    <row r="1633">
      <c r="A1633" s="12" t="s">
        <v>81</v>
      </c>
      <c r="B1633" s="14"/>
      <c r="C1633" s="14"/>
      <c r="D1633" s="20" t="s">
        <v>78</v>
      </c>
      <c r="E1633" s="21">
        <f t="shared" si="281"/>
        <v>1000000</v>
      </c>
      <c r="F1633" s="20" t="s">
        <v>82</v>
      </c>
      <c r="G1633" s="21">
        <f t="shared" si="282"/>
        <v>10</v>
      </c>
      <c r="J1633" s="22" t="s">
        <v>83</v>
      </c>
      <c r="K1633" s="23">
        <f>B1643/B1644</f>
        <v>0</v>
      </c>
      <c r="P1633" s="19"/>
    </row>
    <row r="1634">
      <c r="A1634" s="24" t="s">
        <v>79</v>
      </c>
      <c r="B1634" s="13">
        <v>4.0</v>
      </c>
      <c r="C1634" s="14"/>
      <c r="D1634" s="20" t="s">
        <v>84</v>
      </c>
      <c r="E1634" s="25">
        <f>E1632-E1633</f>
        <v>0</v>
      </c>
      <c r="F1634" s="26"/>
      <c r="G1634" s="16" t="s">
        <v>85</v>
      </c>
      <c r="H1634" s="16" t="s">
        <v>86</v>
      </c>
      <c r="I1634" s="16" t="s">
        <v>87</v>
      </c>
      <c r="J1634" s="22" t="s">
        <v>88</v>
      </c>
      <c r="K1634" s="23">
        <f>B1645/B1646</f>
        <v>0</v>
      </c>
      <c r="P1634" s="19"/>
    </row>
    <row r="1635">
      <c r="A1635" s="24" t="s">
        <v>89</v>
      </c>
      <c r="B1635" s="13">
        <v>10.0</v>
      </c>
      <c r="C1635" s="14"/>
      <c r="D1635" s="16" t="s">
        <v>90</v>
      </c>
      <c r="F1635" s="20" t="s">
        <v>79</v>
      </c>
      <c r="G1635" s="21">
        <f t="shared" ref="G1635:G1636" si="283">B1637</f>
        <v>4</v>
      </c>
      <c r="H1635" s="25">
        <f>G1635+(G1636/60)</f>
        <v>4.166666667</v>
      </c>
      <c r="I1635" s="25">
        <f>H1632-H1635</f>
        <v>0</v>
      </c>
      <c r="J1635" s="22" t="s">
        <v>91</v>
      </c>
      <c r="K1635" s="23">
        <f>B1647/B1648</f>
        <v>0</v>
      </c>
      <c r="P1635" s="19"/>
    </row>
    <row r="1636">
      <c r="A1636" s="12" t="s">
        <v>85</v>
      </c>
      <c r="B1636" s="27"/>
      <c r="C1636" s="14"/>
      <c r="D1636" s="28" t="s">
        <v>92</v>
      </c>
      <c r="E1636" s="25">
        <f>E1632/H1641</f>
        <v>218181.8182</v>
      </c>
      <c r="F1636" s="20" t="s">
        <v>82</v>
      </c>
      <c r="G1636" s="21">
        <f t="shared" si="283"/>
        <v>10</v>
      </c>
      <c r="J1636" s="22" t="s">
        <v>93</v>
      </c>
      <c r="K1636" s="23">
        <f>B1649/B1650</f>
        <v>0</v>
      </c>
      <c r="P1636" s="19"/>
    </row>
    <row r="1637">
      <c r="A1637" s="24" t="s">
        <v>79</v>
      </c>
      <c r="B1637" s="13">
        <v>4.0</v>
      </c>
      <c r="C1637" s="14"/>
      <c r="D1637" s="28" t="s">
        <v>94</v>
      </c>
      <c r="E1637" s="25">
        <f>E1632/I1632</f>
        <v>166666.6667</v>
      </c>
      <c r="J1637" s="22" t="s">
        <v>95</v>
      </c>
      <c r="K1637" s="23">
        <f>B1651/B1652</f>
        <v>0</v>
      </c>
      <c r="P1637" s="19"/>
    </row>
    <row r="1638">
      <c r="A1638" s="24" t="s">
        <v>89</v>
      </c>
      <c r="B1638" s="13">
        <v>10.0</v>
      </c>
      <c r="C1638" s="14"/>
      <c r="D1638" s="28" t="s">
        <v>96</v>
      </c>
      <c r="E1638" s="25">
        <f>E1636/I1632</f>
        <v>36363.63636</v>
      </c>
      <c r="J1638" s="29" t="s">
        <v>97</v>
      </c>
      <c r="K1638" s="30">
        <f>SUM(K1632:K1637)</f>
        <v>0</v>
      </c>
      <c r="P1638" s="19"/>
    </row>
    <row r="1639">
      <c r="A1639" s="12" t="s">
        <v>98</v>
      </c>
      <c r="B1639" s="13">
        <v>6.0</v>
      </c>
      <c r="C1639" s="14"/>
      <c r="D1639" s="28" t="s">
        <v>99</v>
      </c>
      <c r="E1639" s="31">
        <f>E1638/12</f>
        <v>3030.30303</v>
      </c>
      <c r="I1639" s="29"/>
      <c r="J1639" s="29" t="s">
        <v>100</v>
      </c>
      <c r="K1639" s="30">
        <f>H1649</f>
        <v>0</v>
      </c>
      <c r="P1639" s="19"/>
    </row>
    <row r="1640">
      <c r="A1640" s="32"/>
      <c r="B1640" s="14"/>
      <c r="C1640" s="14"/>
      <c r="D1640" s="28" t="s">
        <v>101</v>
      </c>
      <c r="E1640" s="25">
        <f>E1639*5</f>
        <v>15151.51515</v>
      </c>
      <c r="J1640" s="29" t="s">
        <v>102</v>
      </c>
      <c r="K1640" s="30">
        <f>E1641</f>
        <v>18181.81818</v>
      </c>
      <c r="P1640" s="19"/>
    </row>
    <row r="1641">
      <c r="A1641" s="33" t="s">
        <v>103</v>
      </c>
      <c r="B1641" s="34">
        <v>0.0</v>
      </c>
      <c r="C1641" s="14"/>
      <c r="D1641" s="28" t="s">
        <v>104</v>
      </c>
      <c r="E1641" s="25">
        <f>E1639*6</f>
        <v>18181.81818</v>
      </c>
      <c r="G1641" s="35" t="s">
        <v>105</v>
      </c>
      <c r="H1641" s="36">
        <f>H1632+(25/60)</f>
        <v>4.583333333</v>
      </c>
      <c r="J1641" s="29" t="s">
        <v>106</v>
      </c>
      <c r="K1641" s="30">
        <f>E1649</f>
        <v>20000</v>
      </c>
      <c r="P1641" s="19"/>
    </row>
    <row r="1642">
      <c r="A1642" s="37" t="s">
        <v>107</v>
      </c>
      <c r="B1642" s="38">
        <v>1.0</v>
      </c>
      <c r="C1642" s="14"/>
      <c r="G1642" s="35" t="s">
        <v>108</v>
      </c>
      <c r="H1642" s="36">
        <f>I1635+(25/60)</f>
        <v>0.4166666667</v>
      </c>
      <c r="I1642" s="39" t="s">
        <v>109</v>
      </c>
      <c r="P1642" s="19"/>
    </row>
    <row r="1643">
      <c r="A1643" s="40" t="s">
        <v>110</v>
      </c>
      <c r="B1643" s="13">
        <v>0.0</v>
      </c>
      <c r="C1643" s="14"/>
      <c r="D1643" s="16" t="s">
        <v>111</v>
      </c>
      <c r="G1643" s="16" t="s">
        <v>112</v>
      </c>
      <c r="H1643" s="36"/>
      <c r="I1643" s="39" t="s">
        <v>113</v>
      </c>
      <c r="P1643" s="19"/>
    </row>
    <row r="1644">
      <c r="A1644" s="37" t="s">
        <v>114</v>
      </c>
      <c r="B1644" s="38">
        <v>1.0</v>
      </c>
      <c r="C1644" s="14"/>
      <c r="D1644" s="28" t="s">
        <v>92</v>
      </c>
      <c r="E1644" s="25">
        <f>E1633/H1635</f>
        <v>240000</v>
      </c>
      <c r="G1644" s="28" t="s">
        <v>92</v>
      </c>
      <c r="H1644" s="36">
        <f>E1634/H1642</f>
        <v>0</v>
      </c>
      <c r="I1644" s="39" t="s">
        <v>115</v>
      </c>
      <c r="P1644" s="19"/>
    </row>
    <row r="1645">
      <c r="A1645" s="40" t="s">
        <v>116</v>
      </c>
      <c r="B1645" s="13">
        <v>0.0</v>
      </c>
      <c r="C1645" s="14"/>
      <c r="D1645" s="28" t="s">
        <v>94</v>
      </c>
      <c r="E1645" s="25">
        <f>E1633/I1632</f>
        <v>166666.6667</v>
      </c>
      <c r="G1645" s="28" t="s">
        <v>94</v>
      </c>
      <c r="H1645" s="36">
        <f>E1634/I1632</f>
        <v>0</v>
      </c>
      <c r="I1645" s="39" t="s">
        <v>117</v>
      </c>
      <c r="P1645" s="19"/>
    </row>
    <row r="1646">
      <c r="A1646" s="37" t="s">
        <v>118</v>
      </c>
      <c r="B1646" s="38">
        <v>1.0</v>
      </c>
      <c r="C1646" s="14"/>
      <c r="D1646" s="28" t="s">
        <v>96</v>
      </c>
      <c r="E1646" s="25">
        <f>E1645/H1635</f>
        <v>40000</v>
      </c>
      <c r="G1646" s="28" t="s">
        <v>96</v>
      </c>
      <c r="H1646" s="36">
        <f>H1645/H1642</f>
        <v>0</v>
      </c>
      <c r="P1646" s="19"/>
    </row>
    <row r="1647">
      <c r="A1647" s="40" t="s">
        <v>119</v>
      </c>
      <c r="B1647" s="13">
        <v>0.0</v>
      </c>
      <c r="C1647" s="14"/>
      <c r="D1647" s="28" t="s">
        <v>99</v>
      </c>
      <c r="E1647" s="25">
        <f>E1646/12</f>
        <v>3333.333333</v>
      </c>
      <c r="G1647" s="28" t="s">
        <v>99</v>
      </c>
      <c r="H1647" s="36">
        <f>H1646/12</f>
        <v>0</v>
      </c>
      <c r="P1647" s="19"/>
    </row>
    <row r="1648">
      <c r="A1648" s="37" t="s">
        <v>120</v>
      </c>
      <c r="B1648" s="38">
        <v>1.0</v>
      </c>
      <c r="C1648" s="14"/>
      <c r="D1648" s="28" t="s">
        <v>101</v>
      </c>
      <c r="E1648" s="25">
        <f>E1647*5</f>
        <v>16666.66667</v>
      </c>
      <c r="G1648" s="28" t="s">
        <v>101</v>
      </c>
      <c r="H1648" s="36">
        <f>H1647*5</f>
        <v>0</v>
      </c>
      <c r="P1648" s="19"/>
    </row>
    <row r="1649">
      <c r="A1649" s="40" t="s">
        <v>121</v>
      </c>
      <c r="B1649" s="13">
        <v>0.0</v>
      </c>
      <c r="C1649" s="14"/>
      <c r="D1649" s="28" t="s">
        <v>104</v>
      </c>
      <c r="E1649" s="25">
        <f>E1647*6</f>
        <v>20000</v>
      </c>
      <c r="G1649" s="28" t="s">
        <v>104</v>
      </c>
      <c r="H1649" s="36">
        <f>H1647*6</f>
        <v>0</v>
      </c>
      <c r="P1649" s="19"/>
    </row>
    <row r="1650">
      <c r="A1650" s="37" t="s">
        <v>122</v>
      </c>
      <c r="B1650" s="38">
        <v>1.0</v>
      </c>
      <c r="C1650" s="14"/>
      <c r="P1650" s="19"/>
    </row>
    <row r="1651">
      <c r="A1651" s="40" t="s">
        <v>123</v>
      </c>
      <c r="B1651" s="13">
        <v>0.0</v>
      </c>
      <c r="C1651" s="14"/>
      <c r="D1651" s="28" t="s">
        <v>124</v>
      </c>
      <c r="E1651" s="41"/>
      <c r="F1651" s="41"/>
      <c r="P1651" s="19"/>
    </row>
    <row r="1652">
      <c r="A1652" s="37" t="s">
        <v>125</v>
      </c>
      <c r="B1652" s="38">
        <v>1.0</v>
      </c>
      <c r="C1652" s="14"/>
      <c r="D1652" s="4" t="s">
        <v>126</v>
      </c>
      <c r="E1652" s="25">
        <f t="shared" ref="E1652:E1655" si="284">H1646-E1646</f>
        <v>-40000</v>
      </c>
      <c r="P1652" s="19"/>
    </row>
    <row r="1653">
      <c r="A1653" s="42" t="s">
        <v>127</v>
      </c>
      <c r="C1653" s="14"/>
      <c r="D1653" s="4" t="s">
        <v>128</v>
      </c>
      <c r="E1653" s="25">
        <f t="shared" si="284"/>
        <v>-3333.333333</v>
      </c>
      <c r="P1653" s="19"/>
    </row>
    <row r="1654">
      <c r="A1654" s="32"/>
      <c r="C1654" s="14"/>
      <c r="D1654" s="4" t="s">
        <v>129</v>
      </c>
      <c r="E1654" s="25">
        <f t="shared" si="284"/>
        <v>-16666.66667</v>
      </c>
      <c r="G1654" s="43"/>
      <c r="P1654" s="19"/>
    </row>
    <row r="1655">
      <c r="A1655" s="32"/>
      <c r="C1655" s="14"/>
      <c r="D1655" s="4" t="s">
        <v>130</v>
      </c>
      <c r="E1655" s="25">
        <f t="shared" si="284"/>
        <v>-20000</v>
      </c>
      <c r="P1655" s="19"/>
    </row>
    <row r="1656">
      <c r="A1656" s="24"/>
      <c r="C1656" s="14"/>
      <c r="D1656" s="28" t="s">
        <v>131</v>
      </c>
      <c r="P1656" s="19"/>
    </row>
    <row r="1657">
      <c r="A1657" s="32"/>
      <c r="C1657" s="14"/>
      <c r="D1657" s="4" t="s">
        <v>132</v>
      </c>
      <c r="E1657" s="25">
        <f t="shared" ref="E1657:E1660" si="285">H1646-E1638</f>
        <v>-36363.63636</v>
      </c>
      <c r="P1657" s="19"/>
    </row>
    <row r="1658">
      <c r="A1658" s="32"/>
      <c r="C1658" s="14"/>
      <c r="D1658" s="4" t="s">
        <v>133</v>
      </c>
      <c r="E1658" s="25">
        <f t="shared" si="285"/>
        <v>-3030.30303</v>
      </c>
      <c r="G1658" s="28" t="s">
        <v>134</v>
      </c>
      <c r="I1658" s="35" t="s">
        <v>135</v>
      </c>
      <c r="J1658" s="35" t="s">
        <v>82</v>
      </c>
      <c r="P1658" s="19"/>
    </row>
    <row r="1659">
      <c r="A1659" s="32"/>
      <c r="C1659" s="14"/>
      <c r="D1659" s="4" t="s">
        <v>136</v>
      </c>
      <c r="E1659" s="25">
        <f t="shared" si="285"/>
        <v>-15151.51515</v>
      </c>
      <c r="G1659" s="35" t="s">
        <v>137</v>
      </c>
      <c r="H1659" s="25" t="str">
        <f>(E1632/H1644)-(25/60)</f>
        <v>#DIV/0!</v>
      </c>
      <c r="I1659" s="25" t="str">
        <f t="shared" ref="I1659:I1660" si="286">INT(H1659)</f>
        <v>#DIV/0!</v>
      </c>
      <c r="J1659" s="36" t="str">
        <f t="shared" ref="J1659:J1660" si="287">INT((H1659-I1659)*60)</f>
        <v>#DIV/0!</v>
      </c>
      <c r="P1659" s="19"/>
    </row>
    <row r="1660">
      <c r="A1660" s="44"/>
      <c r="B1660" s="45"/>
      <c r="C1660" s="46"/>
      <c r="D1660" s="47" t="s">
        <v>138</v>
      </c>
      <c r="E1660" s="45">
        <f t="shared" si="285"/>
        <v>-18181.81818</v>
      </c>
      <c r="F1660" s="45"/>
      <c r="G1660" s="48" t="s">
        <v>139</v>
      </c>
      <c r="H1660" s="45" t="str">
        <f>H1632-H1659</f>
        <v>#DIV/0!</v>
      </c>
      <c r="I1660" s="45" t="str">
        <f t="shared" si="286"/>
        <v>#DIV/0!</v>
      </c>
      <c r="J1660" s="49" t="str">
        <f t="shared" si="287"/>
        <v>#DIV/0!</v>
      </c>
      <c r="K1660" s="45"/>
      <c r="L1660" s="45"/>
      <c r="M1660" s="45"/>
      <c r="N1660" s="45"/>
      <c r="O1660" s="45"/>
      <c r="P1660" s="50"/>
    </row>
    <row r="1661">
      <c r="A1661" s="51"/>
      <c r="B1661" s="51"/>
      <c r="D1661" s="51"/>
    </row>
    <row r="1662">
      <c r="D1662" s="51"/>
      <c r="I1662" s="51"/>
    </row>
    <row r="1663">
      <c r="D1663" s="51"/>
      <c r="I1663" s="51"/>
    </row>
    <row r="1664">
      <c r="A1664" s="51"/>
      <c r="D1664" s="51"/>
      <c r="G1664" s="51"/>
    </row>
    <row r="1665">
      <c r="A1665" s="51"/>
      <c r="G1665" s="51"/>
    </row>
    <row r="1666">
      <c r="A1666" s="51"/>
      <c r="D1666" s="51"/>
      <c r="G1666" s="51"/>
    </row>
    <row r="1667">
      <c r="A1667" s="51"/>
      <c r="D1667" s="51"/>
      <c r="G1667" s="51"/>
    </row>
    <row r="1668">
      <c r="A1668" s="51"/>
      <c r="D1668" s="51"/>
      <c r="G1668" s="51"/>
    </row>
    <row r="1669">
      <c r="A1669" s="51"/>
      <c r="D1669" s="51"/>
      <c r="G1669" s="51"/>
    </row>
    <row r="1670">
      <c r="A1670" s="6" t="s">
        <v>70</v>
      </c>
      <c r="B1670" s="52"/>
      <c r="C1670" s="8"/>
      <c r="D1670" s="9" t="s">
        <v>71</v>
      </c>
      <c r="E1670" s="10"/>
      <c r="F1670" s="10"/>
      <c r="G1670" s="10"/>
      <c r="H1670" s="10"/>
      <c r="I1670" s="10"/>
      <c r="J1670" s="10"/>
      <c r="K1670" s="9"/>
      <c r="L1670" s="10"/>
      <c r="M1670" s="10"/>
      <c r="N1670" s="10"/>
      <c r="O1670" s="10"/>
      <c r="P1670" s="11"/>
    </row>
    <row r="1671">
      <c r="A1671" s="12" t="s">
        <v>72</v>
      </c>
      <c r="B1671" s="13">
        <v>1000000.0</v>
      </c>
      <c r="C1671" s="14"/>
      <c r="D1671" s="53" t="str">
        <f>B1670</f>
        <v/>
      </c>
      <c r="E1671" s="16" t="s">
        <v>73</v>
      </c>
      <c r="F1671" s="17"/>
      <c r="G1671" s="16" t="s">
        <v>74</v>
      </c>
      <c r="H1671" s="16" t="s">
        <v>75</v>
      </c>
      <c r="I1671" s="16" t="s">
        <v>76</v>
      </c>
      <c r="J1671" s="18" t="s">
        <v>77</v>
      </c>
      <c r="P1671" s="19"/>
    </row>
    <row r="1672">
      <c r="A1672" s="12" t="s">
        <v>78</v>
      </c>
      <c r="B1672" s="13">
        <v>1000000.0</v>
      </c>
      <c r="C1672" s="14"/>
      <c r="D1672" s="20" t="s">
        <v>72</v>
      </c>
      <c r="E1672" s="21">
        <f t="shared" ref="E1672:E1673" si="288">B1671</f>
        <v>1000000</v>
      </c>
      <c r="F1672" s="20" t="s">
        <v>79</v>
      </c>
      <c r="G1672" s="21">
        <f t="shared" ref="G1672:G1673" si="289">B1674</f>
        <v>4</v>
      </c>
      <c r="H1672" s="4">
        <f>G1672+(G1673/60)</f>
        <v>4.166666667</v>
      </c>
      <c r="I1672" s="21">
        <f>B1679</f>
        <v>6</v>
      </c>
      <c r="J1672" s="22" t="s">
        <v>80</v>
      </c>
      <c r="K1672" s="23">
        <f>B1681/B1682</f>
        <v>0</v>
      </c>
      <c r="P1672" s="19"/>
    </row>
    <row r="1673">
      <c r="A1673" s="12" t="s">
        <v>81</v>
      </c>
      <c r="B1673" s="14"/>
      <c r="C1673" s="14"/>
      <c r="D1673" s="20" t="s">
        <v>78</v>
      </c>
      <c r="E1673" s="21">
        <f t="shared" si="288"/>
        <v>1000000</v>
      </c>
      <c r="F1673" s="20" t="s">
        <v>82</v>
      </c>
      <c r="G1673" s="21">
        <f t="shared" si="289"/>
        <v>10</v>
      </c>
      <c r="J1673" s="22" t="s">
        <v>83</v>
      </c>
      <c r="K1673" s="23">
        <f>B1683/B1684</f>
        <v>0</v>
      </c>
      <c r="P1673" s="19"/>
    </row>
    <row r="1674">
      <c r="A1674" s="24" t="s">
        <v>79</v>
      </c>
      <c r="B1674" s="13">
        <v>4.0</v>
      </c>
      <c r="C1674" s="14"/>
      <c r="D1674" s="20" t="s">
        <v>84</v>
      </c>
      <c r="E1674" s="25">
        <f>E1672-E1673</f>
        <v>0</v>
      </c>
      <c r="F1674" s="26"/>
      <c r="G1674" s="16" t="s">
        <v>85</v>
      </c>
      <c r="H1674" s="16" t="s">
        <v>86</v>
      </c>
      <c r="I1674" s="16" t="s">
        <v>87</v>
      </c>
      <c r="J1674" s="22" t="s">
        <v>88</v>
      </c>
      <c r="K1674" s="23">
        <f>B1685/B1686</f>
        <v>0</v>
      </c>
      <c r="P1674" s="19"/>
    </row>
    <row r="1675">
      <c r="A1675" s="24" t="s">
        <v>89</v>
      </c>
      <c r="B1675" s="13">
        <v>10.0</v>
      </c>
      <c r="C1675" s="14"/>
      <c r="D1675" s="16" t="s">
        <v>90</v>
      </c>
      <c r="F1675" s="20" t="s">
        <v>79</v>
      </c>
      <c r="G1675" s="21">
        <f t="shared" ref="G1675:G1676" si="290">B1677</f>
        <v>4</v>
      </c>
      <c r="H1675" s="25">
        <f>G1675+(G1676/60)</f>
        <v>4.166666667</v>
      </c>
      <c r="I1675" s="25">
        <f>H1672-H1675</f>
        <v>0</v>
      </c>
      <c r="J1675" s="22" t="s">
        <v>91</v>
      </c>
      <c r="K1675" s="23">
        <f>B1687/B1688</f>
        <v>0</v>
      </c>
      <c r="P1675" s="19"/>
    </row>
    <row r="1676">
      <c r="A1676" s="12" t="s">
        <v>85</v>
      </c>
      <c r="B1676" s="27"/>
      <c r="C1676" s="14"/>
      <c r="D1676" s="28" t="s">
        <v>92</v>
      </c>
      <c r="E1676" s="25">
        <f>E1672/H1681</f>
        <v>218181.8182</v>
      </c>
      <c r="F1676" s="20" t="s">
        <v>82</v>
      </c>
      <c r="G1676" s="21">
        <f t="shared" si="290"/>
        <v>10</v>
      </c>
      <c r="J1676" s="22" t="s">
        <v>93</v>
      </c>
      <c r="K1676" s="23">
        <f>B1689/B1690</f>
        <v>0</v>
      </c>
      <c r="P1676" s="19"/>
    </row>
    <row r="1677">
      <c r="A1677" s="24" t="s">
        <v>79</v>
      </c>
      <c r="B1677" s="13">
        <v>4.0</v>
      </c>
      <c r="C1677" s="14"/>
      <c r="D1677" s="28" t="s">
        <v>94</v>
      </c>
      <c r="E1677" s="25">
        <f>E1672/I1672</f>
        <v>166666.6667</v>
      </c>
      <c r="J1677" s="22" t="s">
        <v>95</v>
      </c>
      <c r="K1677" s="23">
        <f>B1691/B1692</f>
        <v>0</v>
      </c>
      <c r="P1677" s="19"/>
    </row>
    <row r="1678">
      <c r="A1678" s="24" t="s">
        <v>89</v>
      </c>
      <c r="B1678" s="13">
        <v>10.0</v>
      </c>
      <c r="C1678" s="14"/>
      <c r="D1678" s="28" t="s">
        <v>96</v>
      </c>
      <c r="E1678" s="25">
        <f>E1676/I1672</f>
        <v>36363.63636</v>
      </c>
      <c r="J1678" s="29" t="s">
        <v>97</v>
      </c>
      <c r="K1678" s="30">
        <f>SUM(K1672:K1677)</f>
        <v>0</v>
      </c>
      <c r="P1678" s="19"/>
    </row>
    <row r="1679">
      <c r="A1679" s="12" t="s">
        <v>98</v>
      </c>
      <c r="B1679" s="13">
        <v>6.0</v>
      </c>
      <c r="C1679" s="14"/>
      <c r="D1679" s="28" t="s">
        <v>99</v>
      </c>
      <c r="E1679" s="31">
        <f>E1678/12</f>
        <v>3030.30303</v>
      </c>
      <c r="I1679" s="29"/>
      <c r="J1679" s="29" t="s">
        <v>100</v>
      </c>
      <c r="K1679" s="30">
        <f>H1689</f>
        <v>0</v>
      </c>
      <c r="P1679" s="19"/>
    </row>
    <row r="1680">
      <c r="A1680" s="32"/>
      <c r="B1680" s="14"/>
      <c r="C1680" s="14"/>
      <c r="D1680" s="28" t="s">
        <v>101</v>
      </c>
      <c r="E1680" s="25">
        <f>E1679*5</f>
        <v>15151.51515</v>
      </c>
      <c r="J1680" s="29" t="s">
        <v>102</v>
      </c>
      <c r="K1680" s="30">
        <f>E1681</f>
        <v>18181.81818</v>
      </c>
      <c r="P1680" s="19"/>
    </row>
    <row r="1681">
      <c r="A1681" s="33" t="s">
        <v>103</v>
      </c>
      <c r="B1681" s="34">
        <v>0.0</v>
      </c>
      <c r="C1681" s="14"/>
      <c r="D1681" s="28" t="s">
        <v>104</v>
      </c>
      <c r="E1681" s="25">
        <f>E1679*6</f>
        <v>18181.81818</v>
      </c>
      <c r="G1681" s="35" t="s">
        <v>105</v>
      </c>
      <c r="H1681" s="36">
        <f>H1672+(25/60)</f>
        <v>4.583333333</v>
      </c>
      <c r="J1681" s="29" t="s">
        <v>106</v>
      </c>
      <c r="K1681" s="30">
        <f>E1689</f>
        <v>20000</v>
      </c>
      <c r="P1681" s="19"/>
    </row>
    <row r="1682">
      <c r="A1682" s="37" t="s">
        <v>107</v>
      </c>
      <c r="B1682" s="38">
        <v>1.0</v>
      </c>
      <c r="C1682" s="14"/>
      <c r="G1682" s="35" t="s">
        <v>108</v>
      </c>
      <c r="H1682" s="36">
        <f>I1675+(25/60)</f>
        <v>0.4166666667</v>
      </c>
      <c r="I1682" s="39" t="s">
        <v>109</v>
      </c>
      <c r="P1682" s="19"/>
    </row>
    <row r="1683">
      <c r="A1683" s="40" t="s">
        <v>110</v>
      </c>
      <c r="B1683" s="13">
        <v>0.0</v>
      </c>
      <c r="C1683" s="14"/>
      <c r="D1683" s="16" t="s">
        <v>111</v>
      </c>
      <c r="G1683" s="16" t="s">
        <v>112</v>
      </c>
      <c r="H1683" s="36"/>
      <c r="I1683" s="39" t="s">
        <v>113</v>
      </c>
      <c r="P1683" s="19"/>
    </row>
    <row r="1684">
      <c r="A1684" s="37" t="s">
        <v>114</v>
      </c>
      <c r="B1684" s="38">
        <v>1.0</v>
      </c>
      <c r="C1684" s="14"/>
      <c r="D1684" s="28" t="s">
        <v>92</v>
      </c>
      <c r="E1684" s="25">
        <f>E1673/H1675</f>
        <v>240000</v>
      </c>
      <c r="G1684" s="28" t="s">
        <v>92</v>
      </c>
      <c r="H1684" s="36">
        <f>E1674/H1682</f>
        <v>0</v>
      </c>
      <c r="I1684" s="39" t="s">
        <v>115</v>
      </c>
      <c r="P1684" s="19"/>
    </row>
    <row r="1685">
      <c r="A1685" s="40" t="s">
        <v>116</v>
      </c>
      <c r="B1685" s="13">
        <v>0.0</v>
      </c>
      <c r="C1685" s="14"/>
      <c r="D1685" s="28" t="s">
        <v>94</v>
      </c>
      <c r="E1685" s="25">
        <f>E1673/I1672</f>
        <v>166666.6667</v>
      </c>
      <c r="G1685" s="28" t="s">
        <v>94</v>
      </c>
      <c r="H1685" s="36">
        <f>E1674/I1672</f>
        <v>0</v>
      </c>
      <c r="I1685" s="39" t="s">
        <v>117</v>
      </c>
      <c r="P1685" s="19"/>
    </row>
    <row r="1686">
      <c r="A1686" s="37" t="s">
        <v>118</v>
      </c>
      <c r="B1686" s="38">
        <v>1.0</v>
      </c>
      <c r="C1686" s="14"/>
      <c r="D1686" s="28" t="s">
        <v>96</v>
      </c>
      <c r="E1686" s="25">
        <f>E1685/H1675</f>
        <v>40000</v>
      </c>
      <c r="G1686" s="28" t="s">
        <v>96</v>
      </c>
      <c r="H1686" s="36">
        <f>H1685/H1682</f>
        <v>0</v>
      </c>
      <c r="P1686" s="19"/>
    </row>
    <row r="1687">
      <c r="A1687" s="40" t="s">
        <v>119</v>
      </c>
      <c r="B1687" s="13">
        <v>0.0</v>
      </c>
      <c r="C1687" s="14"/>
      <c r="D1687" s="28" t="s">
        <v>99</v>
      </c>
      <c r="E1687" s="25">
        <f>E1686/12</f>
        <v>3333.333333</v>
      </c>
      <c r="G1687" s="28" t="s">
        <v>99</v>
      </c>
      <c r="H1687" s="36">
        <f>H1686/12</f>
        <v>0</v>
      </c>
      <c r="P1687" s="19"/>
    </row>
    <row r="1688">
      <c r="A1688" s="37" t="s">
        <v>120</v>
      </c>
      <c r="B1688" s="38">
        <v>1.0</v>
      </c>
      <c r="C1688" s="14"/>
      <c r="D1688" s="28" t="s">
        <v>101</v>
      </c>
      <c r="E1688" s="25">
        <f>E1687*5</f>
        <v>16666.66667</v>
      </c>
      <c r="G1688" s="28" t="s">
        <v>101</v>
      </c>
      <c r="H1688" s="36">
        <f>H1687*5</f>
        <v>0</v>
      </c>
      <c r="P1688" s="19"/>
    </row>
    <row r="1689">
      <c r="A1689" s="40" t="s">
        <v>121</v>
      </c>
      <c r="B1689" s="13">
        <v>0.0</v>
      </c>
      <c r="C1689" s="14"/>
      <c r="D1689" s="28" t="s">
        <v>104</v>
      </c>
      <c r="E1689" s="25">
        <f>E1687*6</f>
        <v>20000</v>
      </c>
      <c r="G1689" s="28" t="s">
        <v>104</v>
      </c>
      <c r="H1689" s="36">
        <f>H1687*6</f>
        <v>0</v>
      </c>
      <c r="P1689" s="19"/>
    </row>
    <row r="1690">
      <c r="A1690" s="37" t="s">
        <v>122</v>
      </c>
      <c r="B1690" s="38">
        <v>1.0</v>
      </c>
      <c r="C1690" s="14"/>
      <c r="P1690" s="19"/>
    </row>
    <row r="1691">
      <c r="A1691" s="40" t="s">
        <v>123</v>
      </c>
      <c r="B1691" s="13">
        <v>0.0</v>
      </c>
      <c r="C1691" s="14"/>
      <c r="D1691" s="28" t="s">
        <v>124</v>
      </c>
      <c r="E1691" s="41"/>
      <c r="F1691" s="41"/>
      <c r="P1691" s="19"/>
    </row>
    <row r="1692">
      <c r="A1692" s="37" t="s">
        <v>125</v>
      </c>
      <c r="B1692" s="38">
        <v>1.0</v>
      </c>
      <c r="C1692" s="14"/>
      <c r="D1692" s="4" t="s">
        <v>126</v>
      </c>
      <c r="E1692" s="25">
        <f t="shared" ref="E1692:E1695" si="291">H1686-E1686</f>
        <v>-40000</v>
      </c>
      <c r="P1692" s="19"/>
    </row>
    <row r="1693">
      <c r="A1693" s="42" t="s">
        <v>127</v>
      </c>
      <c r="C1693" s="14"/>
      <c r="D1693" s="4" t="s">
        <v>128</v>
      </c>
      <c r="E1693" s="25">
        <f t="shared" si="291"/>
        <v>-3333.333333</v>
      </c>
      <c r="P1693" s="19"/>
    </row>
    <row r="1694">
      <c r="A1694" s="32"/>
      <c r="C1694" s="14"/>
      <c r="D1694" s="4" t="s">
        <v>129</v>
      </c>
      <c r="E1694" s="25">
        <f t="shared" si="291"/>
        <v>-16666.66667</v>
      </c>
      <c r="G1694" s="43"/>
      <c r="P1694" s="19"/>
    </row>
    <row r="1695">
      <c r="A1695" s="32"/>
      <c r="C1695" s="14"/>
      <c r="D1695" s="4" t="s">
        <v>130</v>
      </c>
      <c r="E1695" s="25">
        <f t="shared" si="291"/>
        <v>-20000</v>
      </c>
      <c r="P1695" s="19"/>
    </row>
    <row r="1696">
      <c r="A1696" s="24"/>
      <c r="C1696" s="14"/>
      <c r="D1696" s="28" t="s">
        <v>131</v>
      </c>
      <c r="P1696" s="19"/>
    </row>
    <row r="1697">
      <c r="A1697" s="32"/>
      <c r="C1697" s="14"/>
      <c r="D1697" s="4" t="s">
        <v>132</v>
      </c>
      <c r="E1697" s="25">
        <f t="shared" ref="E1697:E1700" si="292">H1686-E1678</f>
        <v>-36363.63636</v>
      </c>
      <c r="P1697" s="19"/>
    </row>
    <row r="1698">
      <c r="A1698" s="32"/>
      <c r="C1698" s="14"/>
      <c r="D1698" s="4" t="s">
        <v>133</v>
      </c>
      <c r="E1698" s="25">
        <f t="shared" si="292"/>
        <v>-3030.30303</v>
      </c>
      <c r="G1698" s="28" t="s">
        <v>134</v>
      </c>
      <c r="I1698" s="35" t="s">
        <v>135</v>
      </c>
      <c r="J1698" s="35" t="s">
        <v>82</v>
      </c>
      <c r="P1698" s="19"/>
    </row>
    <row r="1699">
      <c r="A1699" s="32"/>
      <c r="C1699" s="14"/>
      <c r="D1699" s="4" t="s">
        <v>136</v>
      </c>
      <c r="E1699" s="25">
        <f t="shared" si="292"/>
        <v>-15151.51515</v>
      </c>
      <c r="G1699" s="35" t="s">
        <v>137</v>
      </c>
      <c r="H1699" s="25" t="str">
        <f>(E1672/H1684)-(25/60)</f>
        <v>#DIV/0!</v>
      </c>
      <c r="I1699" s="25" t="str">
        <f t="shared" ref="I1699:I1700" si="293">INT(H1699)</f>
        <v>#DIV/0!</v>
      </c>
      <c r="J1699" s="36" t="str">
        <f t="shared" ref="J1699:J1700" si="294">INT((H1699-I1699)*60)</f>
        <v>#DIV/0!</v>
      </c>
      <c r="P1699" s="19"/>
    </row>
    <row r="1700">
      <c r="A1700" s="44"/>
      <c r="B1700" s="45"/>
      <c r="C1700" s="46"/>
      <c r="D1700" s="47" t="s">
        <v>138</v>
      </c>
      <c r="E1700" s="45">
        <f t="shared" si="292"/>
        <v>-18181.81818</v>
      </c>
      <c r="F1700" s="45"/>
      <c r="G1700" s="48" t="s">
        <v>139</v>
      </c>
      <c r="H1700" s="45" t="str">
        <f>H1672-H1699</f>
        <v>#DIV/0!</v>
      </c>
      <c r="I1700" s="45" t="str">
        <f t="shared" si="293"/>
        <v>#DIV/0!</v>
      </c>
      <c r="J1700" s="49" t="str">
        <f t="shared" si="294"/>
        <v>#DIV/0!</v>
      </c>
      <c r="K1700" s="45"/>
      <c r="L1700" s="45"/>
      <c r="M1700" s="45"/>
      <c r="N1700" s="45"/>
      <c r="O1700" s="45"/>
      <c r="P1700" s="50"/>
    </row>
    <row r="1702">
      <c r="A1702" s="51"/>
      <c r="D1702" s="51"/>
    </row>
    <row r="1703">
      <c r="A1703" s="51"/>
      <c r="B1703" s="51"/>
      <c r="E1703" s="51"/>
      <c r="G1703" s="51"/>
      <c r="H1703" s="51"/>
      <c r="I1703" s="51"/>
    </row>
    <row r="1704">
      <c r="A1704" s="51"/>
      <c r="B1704" s="51"/>
      <c r="D1704" s="51"/>
      <c r="E1704" s="51"/>
      <c r="F1704" s="51"/>
      <c r="G1704" s="51"/>
      <c r="I1704" s="51"/>
    </row>
    <row r="1705">
      <c r="A1705" s="51"/>
      <c r="D1705" s="51"/>
      <c r="E1705" s="51"/>
      <c r="F1705" s="51"/>
      <c r="G1705" s="51"/>
    </row>
    <row r="1706">
      <c r="A1706" s="51"/>
      <c r="B1706" s="51"/>
      <c r="D1706" s="51"/>
      <c r="G1706" s="51"/>
      <c r="H1706" s="51"/>
      <c r="I1706" s="51"/>
    </row>
    <row r="1707">
      <c r="A1707" s="51"/>
      <c r="B1707" s="51"/>
      <c r="F1707" s="51"/>
      <c r="G1707" s="51"/>
    </row>
    <row r="1708">
      <c r="A1708" s="51"/>
      <c r="B1708" s="51"/>
      <c r="F1708" s="51"/>
      <c r="G1708" s="51"/>
    </row>
    <row r="1709">
      <c r="A1709" s="51"/>
      <c r="B1709" s="51"/>
      <c r="D1709" s="51"/>
    </row>
    <row r="1710">
      <c r="A1710" s="6" t="s">
        <v>70</v>
      </c>
      <c r="B1710" s="52"/>
      <c r="C1710" s="8"/>
      <c r="D1710" s="9" t="s">
        <v>71</v>
      </c>
      <c r="E1710" s="10"/>
      <c r="F1710" s="10"/>
      <c r="G1710" s="10"/>
      <c r="H1710" s="10"/>
      <c r="I1710" s="10"/>
      <c r="J1710" s="10"/>
      <c r="K1710" s="9"/>
      <c r="L1710" s="10"/>
      <c r="M1710" s="10"/>
      <c r="N1710" s="10"/>
      <c r="O1710" s="10"/>
      <c r="P1710" s="11"/>
    </row>
    <row r="1711">
      <c r="A1711" s="12" t="s">
        <v>72</v>
      </c>
      <c r="B1711" s="13">
        <v>1000000.0</v>
      </c>
      <c r="C1711" s="14"/>
      <c r="D1711" s="53" t="str">
        <f>B1710</f>
        <v/>
      </c>
      <c r="E1711" s="16" t="s">
        <v>73</v>
      </c>
      <c r="F1711" s="17"/>
      <c r="G1711" s="16" t="s">
        <v>74</v>
      </c>
      <c r="H1711" s="16" t="s">
        <v>75</v>
      </c>
      <c r="I1711" s="16" t="s">
        <v>76</v>
      </c>
      <c r="J1711" s="18" t="s">
        <v>77</v>
      </c>
      <c r="P1711" s="19"/>
    </row>
    <row r="1712">
      <c r="A1712" s="12" t="s">
        <v>78</v>
      </c>
      <c r="B1712" s="13">
        <v>1000000.0</v>
      </c>
      <c r="C1712" s="14"/>
      <c r="D1712" s="20" t="s">
        <v>72</v>
      </c>
      <c r="E1712" s="21">
        <f t="shared" ref="E1712:E1713" si="295">B1711</f>
        <v>1000000</v>
      </c>
      <c r="F1712" s="20" t="s">
        <v>79</v>
      </c>
      <c r="G1712" s="21">
        <f t="shared" ref="G1712:G1713" si="296">B1714</f>
        <v>4</v>
      </c>
      <c r="H1712" s="4">
        <f>G1712+(G1713/60)</f>
        <v>4.166666667</v>
      </c>
      <c r="I1712" s="21">
        <f>B1719</f>
        <v>6</v>
      </c>
      <c r="J1712" s="22" t="s">
        <v>80</v>
      </c>
      <c r="K1712" s="23">
        <f>B1721/B1722</f>
        <v>0</v>
      </c>
      <c r="P1712" s="19"/>
    </row>
    <row r="1713">
      <c r="A1713" s="12" t="s">
        <v>81</v>
      </c>
      <c r="B1713" s="14"/>
      <c r="C1713" s="14"/>
      <c r="D1713" s="20" t="s">
        <v>78</v>
      </c>
      <c r="E1713" s="21">
        <f t="shared" si="295"/>
        <v>1000000</v>
      </c>
      <c r="F1713" s="20" t="s">
        <v>82</v>
      </c>
      <c r="G1713" s="21">
        <f t="shared" si="296"/>
        <v>10</v>
      </c>
      <c r="J1713" s="22" t="s">
        <v>83</v>
      </c>
      <c r="K1713" s="23">
        <f>B1723/B1724</f>
        <v>0</v>
      </c>
      <c r="P1713" s="19"/>
    </row>
    <row r="1714">
      <c r="A1714" s="24" t="s">
        <v>79</v>
      </c>
      <c r="B1714" s="13">
        <v>4.0</v>
      </c>
      <c r="C1714" s="14"/>
      <c r="D1714" s="20" t="s">
        <v>84</v>
      </c>
      <c r="E1714" s="25">
        <f>E1712-E1713</f>
        <v>0</v>
      </c>
      <c r="F1714" s="26"/>
      <c r="G1714" s="16" t="s">
        <v>85</v>
      </c>
      <c r="H1714" s="16" t="s">
        <v>86</v>
      </c>
      <c r="I1714" s="16" t="s">
        <v>87</v>
      </c>
      <c r="J1714" s="22" t="s">
        <v>88</v>
      </c>
      <c r="K1714" s="23">
        <f>B1725/B1726</f>
        <v>0</v>
      </c>
      <c r="P1714" s="19"/>
    </row>
    <row r="1715">
      <c r="A1715" s="24" t="s">
        <v>89</v>
      </c>
      <c r="B1715" s="13">
        <v>10.0</v>
      </c>
      <c r="C1715" s="14"/>
      <c r="D1715" s="16" t="s">
        <v>90</v>
      </c>
      <c r="F1715" s="20" t="s">
        <v>79</v>
      </c>
      <c r="G1715" s="21">
        <f t="shared" ref="G1715:G1716" si="297">B1717</f>
        <v>4</v>
      </c>
      <c r="H1715" s="25">
        <f>G1715+(G1716/60)</f>
        <v>4.166666667</v>
      </c>
      <c r="I1715" s="25">
        <f>H1712-H1715</f>
        <v>0</v>
      </c>
      <c r="J1715" s="22" t="s">
        <v>91</v>
      </c>
      <c r="K1715" s="23">
        <f>B1727/B1728</f>
        <v>0</v>
      </c>
      <c r="P1715" s="19"/>
    </row>
    <row r="1716">
      <c r="A1716" s="12" t="s">
        <v>85</v>
      </c>
      <c r="B1716" s="27"/>
      <c r="C1716" s="14"/>
      <c r="D1716" s="28" t="s">
        <v>92</v>
      </c>
      <c r="E1716" s="25">
        <f>E1712/H1721</f>
        <v>218181.8182</v>
      </c>
      <c r="F1716" s="20" t="s">
        <v>82</v>
      </c>
      <c r="G1716" s="21">
        <f t="shared" si="297"/>
        <v>10</v>
      </c>
      <c r="J1716" s="22" t="s">
        <v>93</v>
      </c>
      <c r="K1716" s="23">
        <f>B1729/B1730</f>
        <v>0</v>
      </c>
      <c r="P1716" s="19"/>
    </row>
    <row r="1717">
      <c r="A1717" s="24" t="s">
        <v>79</v>
      </c>
      <c r="B1717" s="13">
        <v>4.0</v>
      </c>
      <c r="C1717" s="14"/>
      <c r="D1717" s="28" t="s">
        <v>94</v>
      </c>
      <c r="E1717" s="25">
        <f>E1712/I1712</f>
        <v>166666.6667</v>
      </c>
      <c r="J1717" s="22" t="s">
        <v>95</v>
      </c>
      <c r="K1717" s="23">
        <f>B1731/B1732</f>
        <v>0</v>
      </c>
      <c r="P1717" s="19"/>
    </row>
    <row r="1718">
      <c r="A1718" s="24" t="s">
        <v>89</v>
      </c>
      <c r="B1718" s="13">
        <v>10.0</v>
      </c>
      <c r="C1718" s="14"/>
      <c r="D1718" s="28" t="s">
        <v>96</v>
      </c>
      <c r="E1718" s="25">
        <f>E1716/I1712</f>
        <v>36363.63636</v>
      </c>
      <c r="J1718" s="29" t="s">
        <v>97</v>
      </c>
      <c r="K1718" s="30">
        <f>SUM(K1712:K1717)</f>
        <v>0</v>
      </c>
      <c r="P1718" s="19"/>
    </row>
    <row r="1719">
      <c r="A1719" s="12" t="s">
        <v>98</v>
      </c>
      <c r="B1719" s="13">
        <v>6.0</v>
      </c>
      <c r="C1719" s="14"/>
      <c r="D1719" s="28" t="s">
        <v>99</v>
      </c>
      <c r="E1719" s="31">
        <f>E1718/12</f>
        <v>3030.30303</v>
      </c>
      <c r="I1719" s="29"/>
      <c r="J1719" s="29" t="s">
        <v>100</v>
      </c>
      <c r="K1719" s="30">
        <f>H1729</f>
        <v>0</v>
      </c>
      <c r="P1719" s="19"/>
    </row>
    <row r="1720">
      <c r="A1720" s="32"/>
      <c r="B1720" s="14"/>
      <c r="C1720" s="14"/>
      <c r="D1720" s="28" t="s">
        <v>101</v>
      </c>
      <c r="E1720" s="25">
        <f>E1719*5</f>
        <v>15151.51515</v>
      </c>
      <c r="J1720" s="29" t="s">
        <v>102</v>
      </c>
      <c r="K1720" s="30">
        <f>E1721</f>
        <v>18181.81818</v>
      </c>
      <c r="P1720" s="19"/>
    </row>
    <row r="1721">
      <c r="A1721" s="33" t="s">
        <v>103</v>
      </c>
      <c r="B1721" s="34">
        <v>0.0</v>
      </c>
      <c r="C1721" s="14"/>
      <c r="D1721" s="28" t="s">
        <v>104</v>
      </c>
      <c r="E1721" s="25">
        <f>E1719*6</f>
        <v>18181.81818</v>
      </c>
      <c r="G1721" s="35" t="s">
        <v>105</v>
      </c>
      <c r="H1721" s="36">
        <f>H1712+(25/60)</f>
        <v>4.583333333</v>
      </c>
      <c r="J1721" s="29" t="s">
        <v>106</v>
      </c>
      <c r="K1721" s="30">
        <f>E1729</f>
        <v>20000</v>
      </c>
      <c r="P1721" s="19"/>
    </row>
    <row r="1722">
      <c r="A1722" s="37" t="s">
        <v>107</v>
      </c>
      <c r="B1722" s="38">
        <v>1.0</v>
      </c>
      <c r="C1722" s="14"/>
      <c r="G1722" s="35" t="s">
        <v>108</v>
      </c>
      <c r="H1722" s="36">
        <f>I1715+(25/60)</f>
        <v>0.4166666667</v>
      </c>
      <c r="I1722" s="39" t="s">
        <v>109</v>
      </c>
      <c r="P1722" s="19"/>
    </row>
    <row r="1723">
      <c r="A1723" s="40" t="s">
        <v>110</v>
      </c>
      <c r="B1723" s="13">
        <v>0.0</v>
      </c>
      <c r="C1723" s="14"/>
      <c r="D1723" s="16" t="s">
        <v>111</v>
      </c>
      <c r="G1723" s="16" t="s">
        <v>112</v>
      </c>
      <c r="H1723" s="36"/>
      <c r="I1723" s="39" t="s">
        <v>113</v>
      </c>
      <c r="P1723" s="19"/>
    </row>
    <row r="1724">
      <c r="A1724" s="37" t="s">
        <v>114</v>
      </c>
      <c r="B1724" s="38">
        <v>1.0</v>
      </c>
      <c r="C1724" s="14"/>
      <c r="D1724" s="28" t="s">
        <v>92</v>
      </c>
      <c r="E1724" s="25">
        <f>E1713/H1715</f>
        <v>240000</v>
      </c>
      <c r="G1724" s="28" t="s">
        <v>92</v>
      </c>
      <c r="H1724" s="36">
        <f>E1714/H1722</f>
        <v>0</v>
      </c>
      <c r="I1724" s="39" t="s">
        <v>115</v>
      </c>
      <c r="P1724" s="19"/>
    </row>
    <row r="1725">
      <c r="A1725" s="40" t="s">
        <v>116</v>
      </c>
      <c r="B1725" s="13">
        <v>0.0</v>
      </c>
      <c r="C1725" s="14"/>
      <c r="D1725" s="28" t="s">
        <v>94</v>
      </c>
      <c r="E1725" s="25">
        <f>E1713/I1712</f>
        <v>166666.6667</v>
      </c>
      <c r="G1725" s="28" t="s">
        <v>94</v>
      </c>
      <c r="H1725" s="36">
        <f>E1714/I1712</f>
        <v>0</v>
      </c>
      <c r="I1725" s="39" t="s">
        <v>117</v>
      </c>
      <c r="P1725" s="19"/>
    </row>
    <row r="1726">
      <c r="A1726" s="37" t="s">
        <v>118</v>
      </c>
      <c r="B1726" s="38">
        <v>1.0</v>
      </c>
      <c r="C1726" s="14"/>
      <c r="D1726" s="28" t="s">
        <v>96</v>
      </c>
      <c r="E1726" s="25">
        <f>E1725/H1715</f>
        <v>40000</v>
      </c>
      <c r="G1726" s="28" t="s">
        <v>96</v>
      </c>
      <c r="H1726" s="36">
        <f>H1725/H1722</f>
        <v>0</v>
      </c>
      <c r="P1726" s="19"/>
    </row>
    <row r="1727">
      <c r="A1727" s="40" t="s">
        <v>119</v>
      </c>
      <c r="B1727" s="13">
        <v>0.0</v>
      </c>
      <c r="C1727" s="14"/>
      <c r="D1727" s="28" t="s">
        <v>99</v>
      </c>
      <c r="E1727" s="25">
        <f>E1726/12</f>
        <v>3333.333333</v>
      </c>
      <c r="G1727" s="28" t="s">
        <v>99</v>
      </c>
      <c r="H1727" s="36">
        <f>H1726/12</f>
        <v>0</v>
      </c>
      <c r="P1727" s="19"/>
    </row>
    <row r="1728">
      <c r="A1728" s="37" t="s">
        <v>120</v>
      </c>
      <c r="B1728" s="38">
        <v>1.0</v>
      </c>
      <c r="C1728" s="14"/>
      <c r="D1728" s="28" t="s">
        <v>101</v>
      </c>
      <c r="E1728" s="25">
        <f>E1727*5</f>
        <v>16666.66667</v>
      </c>
      <c r="G1728" s="28" t="s">
        <v>101</v>
      </c>
      <c r="H1728" s="36">
        <f>H1727*5</f>
        <v>0</v>
      </c>
      <c r="P1728" s="19"/>
    </row>
    <row r="1729">
      <c r="A1729" s="40" t="s">
        <v>121</v>
      </c>
      <c r="B1729" s="13">
        <v>0.0</v>
      </c>
      <c r="C1729" s="14"/>
      <c r="D1729" s="28" t="s">
        <v>104</v>
      </c>
      <c r="E1729" s="25">
        <f>E1727*6</f>
        <v>20000</v>
      </c>
      <c r="G1729" s="28" t="s">
        <v>104</v>
      </c>
      <c r="H1729" s="36">
        <f>H1727*6</f>
        <v>0</v>
      </c>
      <c r="P1729" s="19"/>
    </row>
    <row r="1730">
      <c r="A1730" s="37" t="s">
        <v>122</v>
      </c>
      <c r="B1730" s="38">
        <v>1.0</v>
      </c>
      <c r="C1730" s="14"/>
      <c r="P1730" s="19"/>
    </row>
    <row r="1731">
      <c r="A1731" s="40" t="s">
        <v>123</v>
      </c>
      <c r="B1731" s="13">
        <v>0.0</v>
      </c>
      <c r="C1731" s="14"/>
      <c r="D1731" s="28" t="s">
        <v>124</v>
      </c>
      <c r="E1731" s="41"/>
      <c r="F1731" s="41"/>
      <c r="P1731" s="19"/>
    </row>
    <row r="1732">
      <c r="A1732" s="37" t="s">
        <v>125</v>
      </c>
      <c r="B1732" s="38">
        <v>1.0</v>
      </c>
      <c r="C1732" s="14"/>
      <c r="D1732" s="4" t="s">
        <v>126</v>
      </c>
      <c r="E1732" s="25">
        <f t="shared" ref="E1732:E1735" si="298">H1726-E1726</f>
        <v>-40000</v>
      </c>
      <c r="P1732" s="19"/>
    </row>
    <row r="1733">
      <c r="A1733" s="42" t="s">
        <v>127</v>
      </c>
      <c r="C1733" s="14"/>
      <c r="D1733" s="4" t="s">
        <v>128</v>
      </c>
      <c r="E1733" s="25">
        <f t="shared" si="298"/>
        <v>-3333.333333</v>
      </c>
      <c r="P1733" s="19"/>
    </row>
    <row r="1734">
      <c r="A1734" s="32"/>
      <c r="C1734" s="14"/>
      <c r="D1734" s="4" t="s">
        <v>129</v>
      </c>
      <c r="E1734" s="25">
        <f t="shared" si="298"/>
        <v>-16666.66667</v>
      </c>
      <c r="G1734" s="43"/>
      <c r="P1734" s="19"/>
    </row>
    <row r="1735">
      <c r="A1735" s="32"/>
      <c r="C1735" s="14"/>
      <c r="D1735" s="4" t="s">
        <v>130</v>
      </c>
      <c r="E1735" s="25">
        <f t="shared" si="298"/>
        <v>-20000</v>
      </c>
      <c r="P1735" s="19"/>
    </row>
    <row r="1736">
      <c r="A1736" s="24"/>
      <c r="C1736" s="14"/>
      <c r="D1736" s="28" t="s">
        <v>131</v>
      </c>
      <c r="P1736" s="19"/>
    </row>
    <row r="1737">
      <c r="A1737" s="32"/>
      <c r="C1737" s="14"/>
      <c r="D1737" s="4" t="s">
        <v>132</v>
      </c>
      <c r="E1737" s="25">
        <f t="shared" ref="E1737:E1740" si="299">H1726-E1718</f>
        <v>-36363.63636</v>
      </c>
      <c r="P1737" s="19"/>
    </row>
    <row r="1738">
      <c r="A1738" s="32"/>
      <c r="C1738" s="14"/>
      <c r="D1738" s="4" t="s">
        <v>133</v>
      </c>
      <c r="E1738" s="25">
        <f t="shared" si="299"/>
        <v>-3030.30303</v>
      </c>
      <c r="G1738" s="28" t="s">
        <v>134</v>
      </c>
      <c r="I1738" s="35" t="s">
        <v>135</v>
      </c>
      <c r="J1738" s="35" t="s">
        <v>82</v>
      </c>
      <c r="P1738" s="19"/>
    </row>
    <row r="1739">
      <c r="A1739" s="32"/>
      <c r="C1739" s="14"/>
      <c r="D1739" s="4" t="s">
        <v>136</v>
      </c>
      <c r="E1739" s="25">
        <f t="shared" si="299"/>
        <v>-15151.51515</v>
      </c>
      <c r="G1739" s="35" t="s">
        <v>137</v>
      </c>
      <c r="H1739" s="25" t="str">
        <f>(E1712/H1724)-(25/60)</f>
        <v>#DIV/0!</v>
      </c>
      <c r="I1739" s="25" t="str">
        <f t="shared" ref="I1739:I1740" si="300">INT(H1739)</f>
        <v>#DIV/0!</v>
      </c>
      <c r="J1739" s="36" t="str">
        <f t="shared" ref="J1739:J1740" si="301">INT((H1739-I1739)*60)</f>
        <v>#DIV/0!</v>
      </c>
      <c r="P1739" s="19"/>
    </row>
    <row r="1740">
      <c r="A1740" s="44"/>
      <c r="B1740" s="45"/>
      <c r="C1740" s="46"/>
      <c r="D1740" s="47" t="s">
        <v>138</v>
      </c>
      <c r="E1740" s="45">
        <f t="shared" si="299"/>
        <v>-18181.81818</v>
      </c>
      <c r="F1740" s="45"/>
      <c r="G1740" s="48" t="s">
        <v>139</v>
      </c>
      <c r="H1740" s="45" t="str">
        <f>H1712-H1739</f>
        <v>#DIV/0!</v>
      </c>
      <c r="I1740" s="45" t="str">
        <f t="shared" si="300"/>
        <v>#DIV/0!</v>
      </c>
      <c r="J1740" s="49" t="str">
        <f t="shared" si="301"/>
        <v>#DIV/0!</v>
      </c>
      <c r="K1740" s="45"/>
      <c r="L1740" s="45"/>
      <c r="M1740" s="45"/>
      <c r="N1740" s="45"/>
      <c r="O1740" s="45"/>
      <c r="P1740" s="50"/>
    </row>
    <row r="1741">
      <c r="A1741" s="51"/>
      <c r="B1741" s="51"/>
      <c r="D1741" s="51"/>
    </row>
    <row r="1742">
      <c r="D1742" s="51"/>
      <c r="I1742" s="51"/>
    </row>
    <row r="1743">
      <c r="D1743" s="51"/>
      <c r="I1743" s="51"/>
    </row>
    <row r="1744">
      <c r="A1744" s="51"/>
      <c r="D1744" s="51"/>
      <c r="G1744" s="51"/>
    </row>
    <row r="1745">
      <c r="A1745" s="51"/>
      <c r="G1745" s="51"/>
    </row>
    <row r="1746">
      <c r="A1746" s="51"/>
      <c r="D1746" s="51"/>
      <c r="G1746" s="51"/>
    </row>
    <row r="1747">
      <c r="A1747" s="51"/>
      <c r="D1747" s="51"/>
      <c r="G1747" s="51"/>
    </row>
    <row r="1748">
      <c r="A1748" s="51"/>
      <c r="D1748" s="51"/>
      <c r="G1748" s="51"/>
    </row>
    <row r="1749">
      <c r="A1749" s="51"/>
      <c r="D1749" s="51"/>
      <c r="G1749" s="51"/>
    </row>
    <row r="1750">
      <c r="A1750" s="6" t="s">
        <v>70</v>
      </c>
      <c r="B1750" s="52"/>
      <c r="C1750" s="8"/>
      <c r="D1750" s="9" t="s">
        <v>71</v>
      </c>
      <c r="E1750" s="10"/>
      <c r="F1750" s="10"/>
      <c r="G1750" s="10"/>
      <c r="H1750" s="10"/>
      <c r="I1750" s="10"/>
      <c r="J1750" s="10"/>
      <c r="K1750" s="9"/>
      <c r="L1750" s="10"/>
      <c r="M1750" s="10"/>
      <c r="N1750" s="10"/>
      <c r="O1750" s="10"/>
      <c r="P1750" s="11"/>
    </row>
    <row r="1751">
      <c r="A1751" s="12" t="s">
        <v>72</v>
      </c>
      <c r="B1751" s="13">
        <v>1000000.0</v>
      </c>
      <c r="C1751" s="14"/>
      <c r="D1751" s="53" t="str">
        <f>B1750</f>
        <v/>
      </c>
      <c r="E1751" s="16" t="s">
        <v>73</v>
      </c>
      <c r="F1751" s="17"/>
      <c r="G1751" s="16" t="s">
        <v>74</v>
      </c>
      <c r="H1751" s="16" t="s">
        <v>75</v>
      </c>
      <c r="I1751" s="16" t="s">
        <v>76</v>
      </c>
      <c r="J1751" s="18" t="s">
        <v>77</v>
      </c>
      <c r="P1751" s="19"/>
    </row>
    <row r="1752">
      <c r="A1752" s="12" t="s">
        <v>78</v>
      </c>
      <c r="B1752" s="13">
        <v>1000000.0</v>
      </c>
      <c r="C1752" s="14"/>
      <c r="D1752" s="20" t="s">
        <v>72</v>
      </c>
      <c r="E1752" s="21">
        <f t="shared" ref="E1752:E1753" si="302">B1751</f>
        <v>1000000</v>
      </c>
      <c r="F1752" s="20" t="s">
        <v>79</v>
      </c>
      <c r="G1752" s="21">
        <f t="shared" ref="G1752:G1753" si="303">B1754</f>
        <v>4</v>
      </c>
      <c r="H1752" s="4">
        <f>G1752+(G1753/60)</f>
        <v>4.166666667</v>
      </c>
      <c r="I1752" s="21">
        <f>B1759</f>
        <v>6</v>
      </c>
      <c r="J1752" s="22" t="s">
        <v>80</v>
      </c>
      <c r="K1752" s="23">
        <f>B1761/B1762</f>
        <v>0</v>
      </c>
      <c r="P1752" s="19"/>
    </row>
    <row r="1753">
      <c r="A1753" s="12" t="s">
        <v>81</v>
      </c>
      <c r="B1753" s="14"/>
      <c r="C1753" s="14"/>
      <c r="D1753" s="20" t="s">
        <v>78</v>
      </c>
      <c r="E1753" s="21">
        <f t="shared" si="302"/>
        <v>1000000</v>
      </c>
      <c r="F1753" s="20" t="s">
        <v>82</v>
      </c>
      <c r="G1753" s="21">
        <f t="shared" si="303"/>
        <v>10</v>
      </c>
      <c r="J1753" s="22" t="s">
        <v>83</v>
      </c>
      <c r="K1753" s="23">
        <f>B1763/B1764</f>
        <v>0</v>
      </c>
      <c r="P1753" s="19"/>
    </row>
    <row r="1754">
      <c r="A1754" s="24" t="s">
        <v>79</v>
      </c>
      <c r="B1754" s="13">
        <v>4.0</v>
      </c>
      <c r="C1754" s="14"/>
      <c r="D1754" s="20" t="s">
        <v>84</v>
      </c>
      <c r="E1754" s="25">
        <f>E1752-E1753</f>
        <v>0</v>
      </c>
      <c r="F1754" s="26"/>
      <c r="G1754" s="16" t="s">
        <v>85</v>
      </c>
      <c r="H1754" s="16" t="s">
        <v>86</v>
      </c>
      <c r="I1754" s="16" t="s">
        <v>87</v>
      </c>
      <c r="J1754" s="22" t="s">
        <v>88</v>
      </c>
      <c r="K1754" s="23">
        <f>B1765/B1766</f>
        <v>0</v>
      </c>
      <c r="P1754" s="19"/>
    </row>
    <row r="1755">
      <c r="A1755" s="24" t="s">
        <v>89</v>
      </c>
      <c r="B1755" s="13">
        <v>10.0</v>
      </c>
      <c r="C1755" s="14"/>
      <c r="D1755" s="16" t="s">
        <v>90</v>
      </c>
      <c r="F1755" s="20" t="s">
        <v>79</v>
      </c>
      <c r="G1755" s="21">
        <f t="shared" ref="G1755:G1756" si="304">B1757</f>
        <v>4</v>
      </c>
      <c r="H1755" s="25">
        <f>G1755+(G1756/60)</f>
        <v>4.166666667</v>
      </c>
      <c r="I1755" s="25">
        <f>H1752-H1755</f>
        <v>0</v>
      </c>
      <c r="J1755" s="22" t="s">
        <v>91</v>
      </c>
      <c r="K1755" s="23">
        <f>B1767/B1768</f>
        <v>0</v>
      </c>
      <c r="P1755" s="19"/>
    </row>
    <row r="1756">
      <c r="A1756" s="12" t="s">
        <v>85</v>
      </c>
      <c r="B1756" s="27"/>
      <c r="C1756" s="14"/>
      <c r="D1756" s="28" t="s">
        <v>92</v>
      </c>
      <c r="E1756" s="25">
        <f>E1752/H1761</f>
        <v>218181.8182</v>
      </c>
      <c r="F1756" s="20" t="s">
        <v>82</v>
      </c>
      <c r="G1756" s="21">
        <f t="shared" si="304"/>
        <v>10</v>
      </c>
      <c r="J1756" s="22" t="s">
        <v>93</v>
      </c>
      <c r="K1756" s="23">
        <f>B1769/B1770</f>
        <v>0</v>
      </c>
      <c r="P1756" s="19"/>
    </row>
    <row r="1757">
      <c r="A1757" s="24" t="s">
        <v>79</v>
      </c>
      <c r="B1757" s="13">
        <v>4.0</v>
      </c>
      <c r="C1757" s="14"/>
      <c r="D1757" s="28" t="s">
        <v>94</v>
      </c>
      <c r="E1757" s="25">
        <f>E1752/I1752</f>
        <v>166666.6667</v>
      </c>
      <c r="J1757" s="22" t="s">
        <v>95</v>
      </c>
      <c r="K1757" s="23">
        <f>B1771/B1772</f>
        <v>0</v>
      </c>
      <c r="P1757" s="19"/>
    </row>
    <row r="1758">
      <c r="A1758" s="24" t="s">
        <v>89</v>
      </c>
      <c r="B1758" s="13">
        <v>10.0</v>
      </c>
      <c r="C1758" s="14"/>
      <c r="D1758" s="28" t="s">
        <v>96</v>
      </c>
      <c r="E1758" s="25">
        <f>E1756/I1752</f>
        <v>36363.63636</v>
      </c>
      <c r="J1758" s="29" t="s">
        <v>97</v>
      </c>
      <c r="K1758" s="30">
        <f>SUM(K1752:K1757)</f>
        <v>0</v>
      </c>
      <c r="P1758" s="19"/>
    </row>
    <row r="1759">
      <c r="A1759" s="12" t="s">
        <v>98</v>
      </c>
      <c r="B1759" s="13">
        <v>6.0</v>
      </c>
      <c r="C1759" s="14"/>
      <c r="D1759" s="28" t="s">
        <v>99</v>
      </c>
      <c r="E1759" s="31">
        <f>E1758/12</f>
        <v>3030.30303</v>
      </c>
      <c r="I1759" s="29"/>
      <c r="J1759" s="29" t="s">
        <v>100</v>
      </c>
      <c r="K1759" s="30">
        <f>H1769</f>
        <v>0</v>
      </c>
      <c r="P1759" s="19"/>
    </row>
    <row r="1760">
      <c r="A1760" s="32"/>
      <c r="B1760" s="14"/>
      <c r="C1760" s="14"/>
      <c r="D1760" s="28" t="s">
        <v>101</v>
      </c>
      <c r="E1760" s="25">
        <f>E1759*5</f>
        <v>15151.51515</v>
      </c>
      <c r="J1760" s="29" t="s">
        <v>102</v>
      </c>
      <c r="K1760" s="30">
        <f>E1761</f>
        <v>18181.81818</v>
      </c>
      <c r="P1760" s="19"/>
    </row>
    <row r="1761">
      <c r="A1761" s="33" t="s">
        <v>103</v>
      </c>
      <c r="B1761" s="34">
        <v>0.0</v>
      </c>
      <c r="C1761" s="14"/>
      <c r="D1761" s="28" t="s">
        <v>104</v>
      </c>
      <c r="E1761" s="25">
        <f>E1759*6</f>
        <v>18181.81818</v>
      </c>
      <c r="G1761" s="35" t="s">
        <v>105</v>
      </c>
      <c r="H1761" s="36">
        <f>H1752+(25/60)</f>
        <v>4.583333333</v>
      </c>
      <c r="J1761" s="29" t="s">
        <v>106</v>
      </c>
      <c r="K1761" s="30">
        <f>E1769</f>
        <v>20000</v>
      </c>
      <c r="P1761" s="19"/>
    </row>
    <row r="1762">
      <c r="A1762" s="37" t="s">
        <v>107</v>
      </c>
      <c r="B1762" s="38">
        <v>1.0</v>
      </c>
      <c r="C1762" s="14"/>
      <c r="G1762" s="35" t="s">
        <v>108</v>
      </c>
      <c r="H1762" s="36">
        <f>I1755+(25/60)</f>
        <v>0.4166666667</v>
      </c>
      <c r="I1762" s="39" t="s">
        <v>109</v>
      </c>
      <c r="P1762" s="19"/>
    </row>
    <row r="1763">
      <c r="A1763" s="40" t="s">
        <v>110</v>
      </c>
      <c r="B1763" s="13">
        <v>0.0</v>
      </c>
      <c r="C1763" s="14"/>
      <c r="D1763" s="16" t="s">
        <v>111</v>
      </c>
      <c r="G1763" s="16" t="s">
        <v>112</v>
      </c>
      <c r="H1763" s="36"/>
      <c r="I1763" s="39" t="s">
        <v>113</v>
      </c>
      <c r="P1763" s="19"/>
    </row>
    <row r="1764">
      <c r="A1764" s="37" t="s">
        <v>114</v>
      </c>
      <c r="B1764" s="38">
        <v>1.0</v>
      </c>
      <c r="C1764" s="14"/>
      <c r="D1764" s="28" t="s">
        <v>92</v>
      </c>
      <c r="E1764" s="25">
        <f>E1753/H1755</f>
        <v>240000</v>
      </c>
      <c r="G1764" s="28" t="s">
        <v>92</v>
      </c>
      <c r="H1764" s="36">
        <f>E1754/H1762</f>
        <v>0</v>
      </c>
      <c r="I1764" s="39" t="s">
        <v>115</v>
      </c>
      <c r="P1764" s="19"/>
    </row>
    <row r="1765">
      <c r="A1765" s="40" t="s">
        <v>116</v>
      </c>
      <c r="B1765" s="13">
        <v>0.0</v>
      </c>
      <c r="C1765" s="14"/>
      <c r="D1765" s="28" t="s">
        <v>94</v>
      </c>
      <c r="E1765" s="25">
        <f>E1753/I1752</f>
        <v>166666.6667</v>
      </c>
      <c r="G1765" s="28" t="s">
        <v>94</v>
      </c>
      <c r="H1765" s="36">
        <f>E1754/I1752</f>
        <v>0</v>
      </c>
      <c r="I1765" s="39" t="s">
        <v>117</v>
      </c>
      <c r="P1765" s="19"/>
    </row>
    <row r="1766">
      <c r="A1766" s="37" t="s">
        <v>118</v>
      </c>
      <c r="B1766" s="38">
        <v>1.0</v>
      </c>
      <c r="C1766" s="14"/>
      <c r="D1766" s="28" t="s">
        <v>96</v>
      </c>
      <c r="E1766" s="25">
        <f>E1765/H1755</f>
        <v>40000</v>
      </c>
      <c r="G1766" s="28" t="s">
        <v>96</v>
      </c>
      <c r="H1766" s="36">
        <f>H1765/H1762</f>
        <v>0</v>
      </c>
      <c r="P1766" s="19"/>
    </row>
    <row r="1767">
      <c r="A1767" s="40" t="s">
        <v>119</v>
      </c>
      <c r="B1767" s="13">
        <v>0.0</v>
      </c>
      <c r="C1767" s="14"/>
      <c r="D1767" s="28" t="s">
        <v>99</v>
      </c>
      <c r="E1767" s="25">
        <f>E1766/12</f>
        <v>3333.333333</v>
      </c>
      <c r="G1767" s="28" t="s">
        <v>99</v>
      </c>
      <c r="H1767" s="36">
        <f>H1766/12</f>
        <v>0</v>
      </c>
      <c r="P1767" s="19"/>
    </row>
    <row r="1768">
      <c r="A1768" s="37" t="s">
        <v>120</v>
      </c>
      <c r="B1768" s="38">
        <v>1.0</v>
      </c>
      <c r="C1768" s="14"/>
      <c r="D1768" s="28" t="s">
        <v>101</v>
      </c>
      <c r="E1768" s="25">
        <f>E1767*5</f>
        <v>16666.66667</v>
      </c>
      <c r="G1768" s="28" t="s">
        <v>101</v>
      </c>
      <c r="H1768" s="36">
        <f>H1767*5</f>
        <v>0</v>
      </c>
      <c r="P1768" s="19"/>
    </row>
    <row r="1769">
      <c r="A1769" s="40" t="s">
        <v>121</v>
      </c>
      <c r="B1769" s="13">
        <v>0.0</v>
      </c>
      <c r="C1769" s="14"/>
      <c r="D1769" s="28" t="s">
        <v>104</v>
      </c>
      <c r="E1769" s="25">
        <f>E1767*6</f>
        <v>20000</v>
      </c>
      <c r="G1769" s="28" t="s">
        <v>104</v>
      </c>
      <c r="H1769" s="36">
        <f>H1767*6</f>
        <v>0</v>
      </c>
      <c r="P1769" s="19"/>
    </row>
    <row r="1770">
      <c r="A1770" s="37" t="s">
        <v>122</v>
      </c>
      <c r="B1770" s="38">
        <v>1.0</v>
      </c>
      <c r="C1770" s="14"/>
      <c r="P1770" s="19"/>
    </row>
    <row r="1771">
      <c r="A1771" s="40" t="s">
        <v>123</v>
      </c>
      <c r="B1771" s="13">
        <v>0.0</v>
      </c>
      <c r="C1771" s="14"/>
      <c r="D1771" s="28" t="s">
        <v>124</v>
      </c>
      <c r="E1771" s="41"/>
      <c r="F1771" s="41"/>
      <c r="P1771" s="19"/>
    </row>
    <row r="1772">
      <c r="A1772" s="37" t="s">
        <v>125</v>
      </c>
      <c r="B1772" s="38">
        <v>1.0</v>
      </c>
      <c r="C1772" s="14"/>
      <c r="D1772" s="4" t="s">
        <v>126</v>
      </c>
      <c r="E1772" s="25">
        <f t="shared" ref="E1772:E1775" si="305">H1766-E1766</f>
        <v>-40000</v>
      </c>
      <c r="P1772" s="19"/>
    </row>
    <row r="1773">
      <c r="A1773" s="42" t="s">
        <v>127</v>
      </c>
      <c r="C1773" s="14"/>
      <c r="D1773" s="4" t="s">
        <v>128</v>
      </c>
      <c r="E1773" s="25">
        <f t="shared" si="305"/>
        <v>-3333.333333</v>
      </c>
      <c r="P1773" s="19"/>
    </row>
    <row r="1774">
      <c r="A1774" s="32"/>
      <c r="C1774" s="14"/>
      <c r="D1774" s="4" t="s">
        <v>129</v>
      </c>
      <c r="E1774" s="25">
        <f t="shared" si="305"/>
        <v>-16666.66667</v>
      </c>
      <c r="G1774" s="43"/>
      <c r="P1774" s="19"/>
    </row>
    <row r="1775">
      <c r="A1775" s="32"/>
      <c r="C1775" s="14"/>
      <c r="D1775" s="4" t="s">
        <v>130</v>
      </c>
      <c r="E1775" s="25">
        <f t="shared" si="305"/>
        <v>-20000</v>
      </c>
      <c r="P1775" s="19"/>
    </row>
    <row r="1776">
      <c r="A1776" s="24"/>
      <c r="C1776" s="14"/>
      <c r="D1776" s="28" t="s">
        <v>131</v>
      </c>
      <c r="P1776" s="19"/>
    </row>
    <row r="1777">
      <c r="A1777" s="32"/>
      <c r="C1777" s="14"/>
      <c r="D1777" s="4" t="s">
        <v>132</v>
      </c>
      <c r="E1777" s="25">
        <f t="shared" ref="E1777:E1780" si="306">H1766-E1758</f>
        <v>-36363.63636</v>
      </c>
      <c r="P1777" s="19"/>
    </row>
    <row r="1778">
      <c r="A1778" s="32"/>
      <c r="C1778" s="14"/>
      <c r="D1778" s="4" t="s">
        <v>133</v>
      </c>
      <c r="E1778" s="25">
        <f t="shared" si="306"/>
        <v>-3030.30303</v>
      </c>
      <c r="G1778" s="28" t="s">
        <v>134</v>
      </c>
      <c r="I1778" s="35" t="s">
        <v>135</v>
      </c>
      <c r="J1778" s="35" t="s">
        <v>82</v>
      </c>
      <c r="P1778" s="19"/>
    </row>
    <row r="1779">
      <c r="A1779" s="32"/>
      <c r="C1779" s="14"/>
      <c r="D1779" s="4" t="s">
        <v>136</v>
      </c>
      <c r="E1779" s="25">
        <f t="shared" si="306"/>
        <v>-15151.51515</v>
      </c>
      <c r="G1779" s="35" t="s">
        <v>137</v>
      </c>
      <c r="H1779" s="25" t="str">
        <f>(E1752/H1764)-(25/60)</f>
        <v>#DIV/0!</v>
      </c>
      <c r="I1779" s="25" t="str">
        <f t="shared" ref="I1779:I1780" si="307">INT(H1779)</f>
        <v>#DIV/0!</v>
      </c>
      <c r="J1779" s="36" t="str">
        <f t="shared" ref="J1779:J1780" si="308">INT((H1779-I1779)*60)</f>
        <v>#DIV/0!</v>
      </c>
      <c r="P1779" s="19"/>
    </row>
    <row r="1780">
      <c r="A1780" s="44"/>
      <c r="B1780" s="45"/>
      <c r="C1780" s="46"/>
      <c r="D1780" s="47" t="s">
        <v>138</v>
      </c>
      <c r="E1780" s="45">
        <f t="shared" si="306"/>
        <v>-18181.81818</v>
      </c>
      <c r="F1780" s="45"/>
      <c r="G1780" s="48" t="s">
        <v>139</v>
      </c>
      <c r="H1780" s="45" t="str">
        <f>H1752-H1779</f>
        <v>#DIV/0!</v>
      </c>
      <c r="I1780" s="45" t="str">
        <f t="shared" si="307"/>
        <v>#DIV/0!</v>
      </c>
      <c r="J1780" s="49" t="str">
        <f t="shared" si="308"/>
        <v>#DIV/0!</v>
      </c>
      <c r="K1780" s="45"/>
      <c r="L1780" s="45"/>
      <c r="M1780" s="45"/>
      <c r="N1780" s="45"/>
      <c r="O1780" s="45"/>
      <c r="P1780" s="50"/>
    </row>
    <row r="1781">
      <c r="A1781" s="51"/>
      <c r="D1781" s="51"/>
      <c r="G1781" s="51"/>
    </row>
    <row r="1782">
      <c r="A1782" s="51"/>
    </row>
    <row r="1783">
      <c r="A1783" s="51"/>
      <c r="D1783" s="51"/>
    </row>
    <row r="1784">
      <c r="A1784" s="51"/>
    </row>
    <row r="1785">
      <c r="A1785" s="51"/>
      <c r="G1785" s="51"/>
    </row>
    <row r="1787">
      <c r="D1787" s="51"/>
    </row>
    <row r="1790">
      <c r="A1790" s="6" t="s">
        <v>70</v>
      </c>
      <c r="B1790" s="52"/>
      <c r="C1790" s="8"/>
      <c r="D1790" s="9" t="s">
        <v>71</v>
      </c>
      <c r="E1790" s="10"/>
      <c r="F1790" s="10"/>
      <c r="G1790" s="10"/>
      <c r="H1790" s="10"/>
      <c r="I1790" s="10"/>
      <c r="J1790" s="10"/>
      <c r="K1790" s="9"/>
      <c r="L1790" s="10"/>
      <c r="M1790" s="10"/>
      <c r="N1790" s="10"/>
      <c r="O1790" s="10"/>
      <c r="P1790" s="11"/>
    </row>
    <row r="1791">
      <c r="A1791" s="12" t="s">
        <v>72</v>
      </c>
      <c r="B1791" s="13">
        <v>1000000.0</v>
      </c>
      <c r="C1791" s="14"/>
      <c r="D1791" s="53" t="str">
        <f>B1790</f>
        <v/>
      </c>
      <c r="E1791" s="16" t="s">
        <v>73</v>
      </c>
      <c r="F1791" s="17"/>
      <c r="G1791" s="16" t="s">
        <v>74</v>
      </c>
      <c r="H1791" s="16" t="s">
        <v>75</v>
      </c>
      <c r="I1791" s="16" t="s">
        <v>76</v>
      </c>
      <c r="J1791" s="18" t="s">
        <v>77</v>
      </c>
      <c r="P1791" s="19"/>
    </row>
    <row r="1792">
      <c r="A1792" s="12" t="s">
        <v>78</v>
      </c>
      <c r="B1792" s="13">
        <v>1000000.0</v>
      </c>
      <c r="C1792" s="14"/>
      <c r="D1792" s="20" t="s">
        <v>72</v>
      </c>
      <c r="E1792" s="21">
        <f t="shared" ref="E1792:E1793" si="309">B1791</f>
        <v>1000000</v>
      </c>
      <c r="F1792" s="20" t="s">
        <v>79</v>
      </c>
      <c r="G1792" s="21">
        <f t="shared" ref="G1792:G1793" si="310">B1794</f>
        <v>4</v>
      </c>
      <c r="H1792" s="4">
        <f>G1792+(G1793/60)</f>
        <v>4.166666667</v>
      </c>
      <c r="I1792" s="21">
        <f>B1799</f>
        <v>6</v>
      </c>
      <c r="J1792" s="22" t="s">
        <v>80</v>
      </c>
      <c r="K1792" s="23">
        <f>B1801/B1802</f>
        <v>0</v>
      </c>
      <c r="P1792" s="19"/>
    </row>
    <row r="1793">
      <c r="A1793" s="12" t="s">
        <v>81</v>
      </c>
      <c r="B1793" s="14"/>
      <c r="C1793" s="14"/>
      <c r="D1793" s="20" t="s">
        <v>78</v>
      </c>
      <c r="E1793" s="21">
        <f t="shared" si="309"/>
        <v>1000000</v>
      </c>
      <c r="F1793" s="20" t="s">
        <v>82</v>
      </c>
      <c r="G1793" s="21">
        <f t="shared" si="310"/>
        <v>10</v>
      </c>
      <c r="J1793" s="22" t="s">
        <v>83</v>
      </c>
      <c r="K1793" s="23">
        <f>B1803/B1804</f>
        <v>0</v>
      </c>
      <c r="P1793" s="19"/>
    </row>
    <row r="1794">
      <c r="A1794" s="24" t="s">
        <v>79</v>
      </c>
      <c r="B1794" s="13">
        <v>4.0</v>
      </c>
      <c r="C1794" s="14"/>
      <c r="D1794" s="20" t="s">
        <v>84</v>
      </c>
      <c r="E1794" s="25">
        <f>E1792-E1793</f>
        <v>0</v>
      </c>
      <c r="F1794" s="26"/>
      <c r="G1794" s="16" t="s">
        <v>85</v>
      </c>
      <c r="H1794" s="16" t="s">
        <v>86</v>
      </c>
      <c r="I1794" s="16" t="s">
        <v>87</v>
      </c>
      <c r="J1794" s="22" t="s">
        <v>88</v>
      </c>
      <c r="K1794" s="23">
        <f>B1805/B1806</f>
        <v>0</v>
      </c>
      <c r="P1794" s="19"/>
    </row>
    <row r="1795">
      <c r="A1795" s="24" t="s">
        <v>89</v>
      </c>
      <c r="B1795" s="13">
        <v>10.0</v>
      </c>
      <c r="C1795" s="14"/>
      <c r="D1795" s="16" t="s">
        <v>90</v>
      </c>
      <c r="F1795" s="20" t="s">
        <v>79</v>
      </c>
      <c r="G1795" s="21">
        <f t="shared" ref="G1795:G1796" si="311">B1797</f>
        <v>4</v>
      </c>
      <c r="H1795" s="25">
        <f>G1795+(G1796/60)</f>
        <v>4.166666667</v>
      </c>
      <c r="I1795" s="25">
        <f>H1792-H1795</f>
        <v>0</v>
      </c>
      <c r="J1795" s="22" t="s">
        <v>91</v>
      </c>
      <c r="K1795" s="23">
        <f>B1807/B1808</f>
        <v>0</v>
      </c>
      <c r="P1795" s="19"/>
    </row>
    <row r="1796">
      <c r="A1796" s="12" t="s">
        <v>85</v>
      </c>
      <c r="B1796" s="27"/>
      <c r="C1796" s="14"/>
      <c r="D1796" s="28" t="s">
        <v>92</v>
      </c>
      <c r="E1796" s="25">
        <f>E1792/H1801</f>
        <v>218181.8182</v>
      </c>
      <c r="F1796" s="20" t="s">
        <v>82</v>
      </c>
      <c r="G1796" s="21">
        <f t="shared" si="311"/>
        <v>10</v>
      </c>
      <c r="J1796" s="22" t="s">
        <v>93</v>
      </c>
      <c r="K1796" s="23">
        <f>B1809/B1810</f>
        <v>0</v>
      </c>
      <c r="P1796" s="19"/>
    </row>
    <row r="1797">
      <c r="A1797" s="24" t="s">
        <v>79</v>
      </c>
      <c r="B1797" s="13">
        <v>4.0</v>
      </c>
      <c r="C1797" s="14"/>
      <c r="D1797" s="28" t="s">
        <v>94</v>
      </c>
      <c r="E1797" s="25">
        <f>E1792/I1792</f>
        <v>166666.6667</v>
      </c>
      <c r="J1797" s="22" t="s">
        <v>95</v>
      </c>
      <c r="K1797" s="23">
        <f>B1811/B1812</f>
        <v>0</v>
      </c>
      <c r="P1797" s="19"/>
    </row>
    <row r="1798">
      <c r="A1798" s="24" t="s">
        <v>89</v>
      </c>
      <c r="B1798" s="13">
        <v>10.0</v>
      </c>
      <c r="C1798" s="14"/>
      <c r="D1798" s="28" t="s">
        <v>96</v>
      </c>
      <c r="E1798" s="25">
        <f>E1796/I1792</f>
        <v>36363.63636</v>
      </c>
      <c r="J1798" s="29" t="s">
        <v>97</v>
      </c>
      <c r="K1798" s="30">
        <f>SUM(K1792:K1797)</f>
        <v>0</v>
      </c>
      <c r="P1798" s="19"/>
    </row>
    <row r="1799">
      <c r="A1799" s="12" t="s">
        <v>98</v>
      </c>
      <c r="B1799" s="13">
        <v>6.0</v>
      </c>
      <c r="C1799" s="14"/>
      <c r="D1799" s="28" t="s">
        <v>99</v>
      </c>
      <c r="E1799" s="31">
        <f>E1798/12</f>
        <v>3030.30303</v>
      </c>
      <c r="I1799" s="29"/>
      <c r="J1799" s="29" t="s">
        <v>100</v>
      </c>
      <c r="K1799" s="30">
        <f>H1809</f>
        <v>0</v>
      </c>
      <c r="P1799" s="19"/>
    </row>
    <row r="1800">
      <c r="A1800" s="32"/>
      <c r="B1800" s="14"/>
      <c r="C1800" s="14"/>
      <c r="D1800" s="28" t="s">
        <v>101</v>
      </c>
      <c r="E1800" s="25">
        <f>E1799*5</f>
        <v>15151.51515</v>
      </c>
      <c r="J1800" s="29" t="s">
        <v>102</v>
      </c>
      <c r="K1800" s="30">
        <f>E1801</f>
        <v>18181.81818</v>
      </c>
      <c r="P1800" s="19"/>
    </row>
    <row r="1801">
      <c r="A1801" s="33" t="s">
        <v>103</v>
      </c>
      <c r="B1801" s="34">
        <v>0.0</v>
      </c>
      <c r="C1801" s="14"/>
      <c r="D1801" s="28" t="s">
        <v>104</v>
      </c>
      <c r="E1801" s="25">
        <f>E1799*6</f>
        <v>18181.81818</v>
      </c>
      <c r="G1801" s="35" t="s">
        <v>105</v>
      </c>
      <c r="H1801" s="36">
        <f>H1792+(25/60)</f>
        <v>4.583333333</v>
      </c>
      <c r="J1801" s="29" t="s">
        <v>106</v>
      </c>
      <c r="K1801" s="30">
        <f>E1809</f>
        <v>20000</v>
      </c>
      <c r="P1801" s="19"/>
    </row>
    <row r="1802">
      <c r="A1802" s="37" t="s">
        <v>107</v>
      </c>
      <c r="B1802" s="38">
        <v>1.0</v>
      </c>
      <c r="C1802" s="14"/>
      <c r="G1802" s="35" t="s">
        <v>108</v>
      </c>
      <c r="H1802" s="36">
        <f>I1795+(25/60)</f>
        <v>0.4166666667</v>
      </c>
      <c r="I1802" s="39" t="s">
        <v>109</v>
      </c>
      <c r="P1802" s="19"/>
    </row>
    <row r="1803">
      <c r="A1803" s="40" t="s">
        <v>110</v>
      </c>
      <c r="B1803" s="13">
        <v>0.0</v>
      </c>
      <c r="C1803" s="14"/>
      <c r="D1803" s="16" t="s">
        <v>111</v>
      </c>
      <c r="G1803" s="16" t="s">
        <v>112</v>
      </c>
      <c r="H1803" s="36"/>
      <c r="I1803" s="39" t="s">
        <v>113</v>
      </c>
      <c r="P1803" s="19"/>
    </row>
    <row r="1804">
      <c r="A1804" s="37" t="s">
        <v>114</v>
      </c>
      <c r="B1804" s="38">
        <v>1.0</v>
      </c>
      <c r="C1804" s="14"/>
      <c r="D1804" s="28" t="s">
        <v>92</v>
      </c>
      <c r="E1804" s="25">
        <f>E1793/H1795</f>
        <v>240000</v>
      </c>
      <c r="G1804" s="28" t="s">
        <v>92</v>
      </c>
      <c r="H1804" s="36">
        <f>E1794/H1802</f>
        <v>0</v>
      </c>
      <c r="I1804" s="39" t="s">
        <v>115</v>
      </c>
      <c r="P1804" s="19"/>
    </row>
    <row r="1805">
      <c r="A1805" s="40" t="s">
        <v>116</v>
      </c>
      <c r="B1805" s="13">
        <v>0.0</v>
      </c>
      <c r="C1805" s="14"/>
      <c r="D1805" s="28" t="s">
        <v>94</v>
      </c>
      <c r="E1805" s="25">
        <f>E1793/I1792</f>
        <v>166666.6667</v>
      </c>
      <c r="G1805" s="28" t="s">
        <v>94</v>
      </c>
      <c r="H1805" s="36">
        <f>E1794/I1792</f>
        <v>0</v>
      </c>
      <c r="I1805" s="39" t="s">
        <v>117</v>
      </c>
      <c r="P1805" s="19"/>
    </row>
    <row r="1806">
      <c r="A1806" s="37" t="s">
        <v>118</v>
      </c>
      <c r="B1806" s="38">
        <v>1.0</v>
      </c>
      <c r="C1806" s="14"/>
      <c r="D1806" s="28" t="s">
        <v>96</v>
      </c>
      <c r="E1806" s="25">
        <f>E1805/H1795</f>
        <v>40000</v>
      </c>
      <c r="G1806" s="28" t="s">
        <v>96</v>
      </c>
      <c r="H1806" s="36">
        <f>H1805/H1802</f>
        <v>0</v>
      </c>
      <c r="P1806" s="19"/>
    </row>
    <row r="1807">
      <c r="A1807" s="40" t="s">
        <v>119</v>
      </c>
      <c r="B1807" s="13">
        <v>0.0</v>
      </c>
      <c r="C1807" s="14"/>
      <c r="D1807" s="28" t="s">
        <v>99</v>
      </c>
      <c r="E1807" s="25">
        <f>E1806/12</f>
        <v>3333.333333</v>
      </c>
      <c r="G1807" s="28" t="s">
        <v>99</v>
      </c>
      <c r="H1807" s="36">
        <f>H1806/12</f>
        <v>0</v>
      </c>
      <c r="P1807" s="19"/>
    </row>
    <row r="1808">
      <c r="A1808" s="37" t="s">
        <v>120</v>
      </c>
      <c r="B1808" s="38">
        <v>1.0</v>
      </c>
      <c r="C1808" s="14"/>
      <c r="D1808" s="28" t="s">
        <v>101</v>
      </c>
      <c r="E1808" s="25">
        <f>E1807*5</f>
        <v>16666.66667</v>
      </c>
      <c r="G1808" s="28" t="s">
        <v>101</v>
      </c>
      <c r="H1808" s="36">
        <f>H1807*5</f>
        <v>0</v>
      </c>
      <c r="P1808" s="19"/>
    </row>
    <row r="1809">
      <c r="A1809" s="40" t="s">
        <v>121</v>
      </c>
      <c r="B1809" s="13">
        <v>0.0</v>
      </c>
      <c r="C1809" s="14"/>
      <c r="D1809" s="28" t="s">
        <v>104</v>
      </c>
      <c r="E1809" s="25">
        <f>E1807*6</f>
        <v>20000</v>
      </c>
      <c r="G1809" s="28" t="s">
        <v>104</v>
      </c>
      <c r="H1809" s="36">
        <f>H1807*6</f>
        <v>0</v>
      </c>
      <c r="P1809" s="19"/>
    </row>
    <row r="1810">
      <c r="A1810" s="37" t="s">
        <v>122</v>
      </c>
      <c r="B1810" s="38">
        <v>1.0</v>
      </c>
      <c r="C1810" s="14"/>
      <c r="P1810" s="19"/>
    </row>
    <row r="1811">
      <c r="A1811" s="40" t="s">
        <v>123</v>
      </c>
      <c r="B1811" s="13">
        <v>0.0</v>
      </c>
      <c r="C1811" s="14"/>
      <c r="D1811" s="28" t="s">
        <v>124</v>
      </c>
      <c r="E1811" s="41"/>
      <c r="F1811" s="41"/>
      <c r="P1811" s="19"/>
    </row>
    <row r="1812">
      <c r="A1812" s="37" t="s">
        <v>125</v>
      </c>
      <c r="B1812" s="38">
        <v>1.0</v>
      </c>
      <c r="C1812" s="14"/>
      <c r="D1812" s="4" t="s">
        <v>126</v>
      </c>
      <c r="E1812" s="25">
        <f t="shared" ref="E1812:E1815" si="312">H1806-E1806</f>
        <v>-40000</v>
      </c>
      <c r="P1812" s="19"/>
    </row>
    <row r="1813">
      <c r="A1813" s="42" t="s">
        <v>127</v>
      </c>
      <c r="C1813" s="14"/>
      <c r="D1813" s="4" t="s">
        <v>128</v>
      </c>
      <c r="E1813" s="25">
        <f t="shared" si="312"/>
        <v>-3333.333333</v>
      </c>
      <c r="P1813" s="19"/>
    </row>
    <row r="1814">
      <c r="A1814" s="32"/>
      <c r="C1814" s="14"/>
      <c r="D1814" s="4" t="s">
        <v>129</v>
      </c>
      <c r="E1814" s="25">
        <f t="shared" si="312"/>
        <v>-16666.66667</v>
      </c>
      <c r="G1814" s="43"/>
      <c r="P1814" s="19"/>
    </row>
    <row r="1815">
      <c r="A1815" s="32"/>
      <c r="C1815" s="14"/>
      <c r="D1815" s="4" t="s">
        <v>130</v>
      </c>
      <c r="E1815" s="25">
        <f t="shared" si="312"/>
        <v>-20000</v>
      </c>
      <c r="P1815" s="19"/>
    </row>
    <row r="1816">
      <c r="A1816" s="24"/>
      <c r="C1816" s="14"/>
      <c r="D1816" s="28" t="s">
        <v>131</v>
      </c>
      <c r="P1816" s="19"/>
    </row>
    <row r="1817">
      <c r="A1817" s="32"/>
      <c r="C1817" s="14"/>
      <c r="D1817" s="4" t="s">
        <v>132</v>
      </c>
      <c r="E1817" s="25">
        <f t="shared" ref="E1817:E1820" si="313">H1806-E1798</f>
        <v>-36363.63636</v>
      </c>
      <c r="P1817" s="19"/>
    </row>
    <row r="1818">
      <c r="A1818" s="32"/>
      <c r="C1818" s="14"/>
      <c r="D1818" s="4" t="s">
        <v>133</v>
      </c>
      <c r="E1818" s="25">
        <f t="shared" si="313"/>
        <v>-3030.30303</v>
      </c>
      <c r="G1818" s="28" t="s">
        <v>134</v>
      </c>
      <c r="I1818" s="35" t="s">
        <v>135</v>
      </c>
      <c r="J1818" s="35" t="s">
        <v>82</v>
      </c>
      <c r="P1818" s="19"/>
    </row>
    <row r="1819">
      <c r="A1819" s="32"/>
      <c r="C1819" s="14"/>
      <c r="D1819" s="4" t="s">
        <v>136</v>
      </c>
      <c r="E1819" s="25">
        <f t="shared" si="313"/>
        <v>-15151.51515</v>
      </c>
      <c r="G1819" s="35" t="s">
        <v>137</v>
      </c>
      <c r="H1819" s="25" t="str">
        <f>(E1792/H1804)-(25/60)</f>
        <v>#DIV/0!</v>
      </c>
      <c r="I1819" s="25" t="str">
        <f t="shared" ref="I1819:I1820" si="314">INT(H1819)</f>
        <v>#DIV/0!</v>
      </c>
      <c r="J1819" s="36" t="str">
        <f t="shared" ref="J1819:J1820" si="315">INT((H1819-I1819)*60)</f>
        <v>#DIV/0!</v>
      </c>
      <c r="P1819" s="19"/>
    </row>
    <row r="1820">
      <c r="A1820" s="44"/>
      <c r="B1820" s="45"/>
      <c r="C1820" s="46"/>
      <c r="D1820" s="47" t="s">
        <v>138</v>
      </c>
      <c r="E1820" s="45">
        <f t="shared" si="313"/>
        <v>-18181.81818</v>
      </c>
      <c r="F1820" s="45"/>
      <c r="G1820" s="48" t="s">
        <v>139</v>
      </c>
      <c r="H1820" s="45" t="str">
        <f>H1792-H1819</f>
        <v>#DIV/0!</v>
      </c>
      <c r="I1820" s="45" t="str">
        <f t="shared" si="314"/>
        <v>#DIV/0!</v>
      </c>
      <c r="J1820" s="49" t="str">
        <f t="shared" si="315"/>
        <v>#DIV/0!</v>
      </c>
      <c r="K1820" s="45"/>
      <c r="L1820" s="45"/>
      <c r="M1820" s="45"/>
      <c r="N1820" s="45"/>
      <c r="O1820" s="45"/>
      <c r="P1820" s="50"/>
    </row>
    <row r="1821">
      <c r="A1821" s="51"/>
      <c r="B1821" s="51"/>
      <c r="D1821" s="51"/>
    </row>
    <row r="1822">
      <c r="D1822" s="51"/>
      <c r="I1822" s="51"/>
    </row>
    <row r="1823">
      <c r="D1823" s="51"/>
      <c r="I1823" s="51"/>
    </row>
    <row r="1824">
      <c r="A1824" s="51"/>
      <c r="D1824" s="51"/>
      <c r="G1824" s="51"/>
    </row>
    <row r="1825">
      <c r="A1825" s="51"/>
      <c r="G1825" s="51"/>
    </row>
    <row r="1826">
      <c r="A1826" s="51"/>
      <c r="D1826" s="51"/>
      <c r="G1826" s="51"/>
    </row>
    <row r="1827">
      <c r="A1827" s="51"/>
      <c r="D1827" s="51"/>
      <c r="G1827" s="51"/>
    </row>
    <row r="1828">
      <c r="A1828" s="51"/>
      <c r="D1828" s="51"/>
      <c r="G1828" s="51"/>
    </row>
    <row r="1829">
      <c r="A1829" s="51"/>
      <c r="D1829" s="51"/>
      <c r="G1829" s="51"/>
    </row>
    <row r="1830">
      <c r="A1830" s="6" t="s">
        <v>70</v>
      </c>
      <c r="B1830" s="52"/>
      <c r="C1830" s="8"/>
      <c r="D1830" s="9" t="s">
        <v>71</v>
      </c>
      <c r="E1830" s="10"/>
      <c r="F1830" s="10"/>
      <c r="G1830" s="10"/>
      <c r="H1830" s="10"/>
      <c r="I1830" s="10"/>
      <c r="J1830" s="10"/>
      <c r="K1830" s="9"/>
      <c r="L1830" s="10"/>
      <c r="M1830" s="10"/>
      <c r="N1830" s="10"/>
      <c r="O1830" s="10"/>
      <c r="P1830" s="11"/>
    </row>
    <row r="1831">
      <c r="A1831" s="12" t="s">
        <v>72</v>
      </c>
      <c r="B1831" s="13">
        <v>1000000.0</v>
      </c>
      <c r="C1831" s="14"/>
      <c r="D1831" s="53" t="str">
        <f>B1830</f>
        <v/>
      </c>
      <c r="E1831" s="16" t="s">
        <v>73</v>
      </c>
      <c r="F1831" s="17"/>
      <c r="G1831" s="16" t="s">
        <v>74</v>
      </c>
      <c r="H1831" s="16" t="s">
        <v>75</v>
      </c>
      <c r="I1831" s="16" t="s">
        <v>76</v>
      </c>
      <c r="J1831" s="18" t="s">
        <v>77</v>
      </c>
      <c r="P1831" s="19"/>
    </row>
    <row r="1832">
      <c r="A1832" s="12" t="s">
        <v>78</v>
      </c>
      <c r="B1832" s="13">
        <v>1000000.0</v>
      </c>
      <c r="C1832" s="14"/>
      <c r="D1832" s="20" t="s">
        <v>72</v>
      </c>
      <c r="E1832" s="21">
        <f t="shared" ref="E1832:E1833" si="316">B1831</f>
        <v>1000000</v>
      </c>
      <c r="F1832" s="20" t="s">
        <v>79</v>
      </c>
      <c r="G1832" s="21">
        <f t="shared" ref="G1832:G1833" si="317">B1834</f>
        <v>4</v>
      </c>
      <c r="H1832" s="4">
        <f>G1832+(G1833/60)</f>
        <v>4.166666667</v>
      </c>
      <c r="I1832" s="21">
        <f>B1839</f>
        <v>6</v>
      </c>
      <c r="J1832" s="22" t="s">
        <v>80</v>
      </c>
      <c r="K1832" s="23">
        <f>B1841/B1842</f>
        <v>0</v>
      </c>
      <c r="P1832" s="19"/>
    </row>
    <row r="1833">
      <c r="A1833" s="12" t="s">
        <v>81</v>
      </c>
      <c r="B1833" s="14"/>
      <c r="C1833" s="14"/>
      <c r="D1833" s="20" t="s">
        <v>78</v>
      </c>
      <c r="E1833" s="21">
        <f t="shared" si="316"/>
        <v>1000000</v>
      </c>
      <c r="F1833" s="20" t="s">
        <v>82</v>
      </c>
      <c r="G1833" s="21">
        <f t="shared" si="317"/>
        <v>10</v>
      </c>
      <c r="J1833" s="22" t="s">
        <v>83</v>
      </c>
      <c r="K1833" s="23">
        <f>B1843/B1844</f>
        <v>0</v>
      </c>
      <c r="P1833" s="19"/>
    </row>
    <row r="1834">
      <c r="A1834" s="24" t="s">
        <v>79</v>
      </c>
      <c r="B1834" s="13">
        <v>4.0</v>
      </c>
      <c r="C1834" s="14"/>
      <c r="D1834" s="20" t="s">
        <v>84</v>
      </c>
      <c r="E1834" s="25">
        <f>E1832-E1833</f>
        <v>0</v>
      </c>
      <c r="F1834" s="26"/>
      <c r="G1834" s="16" t="s">
        <v>85</v>
      </c>
      <c r="H1834" s="16" t="s">
        <v>86</v>
      </c>
      <c r="I1834" s="16" t="s">
        <v>87</v>
      </c>
      <c r="J1834" s="22" t="s">
        <v>88</v>
      </c>
      <c r="K1834" s="23">
        <f>B1845/B1846</f>
        <v>0</v>
      </c>
      <c r="P1834" s="19"/>
    </row>
    <row r="1835">
      <c r="A1835" s="24" t="s">
        <v>89</v>
      </c>
      <c r="B1835" s="13">
        <v>10.0</v>
      </c>
      <c r="C1835" s="14"/>
      <c r="D1835" s="16" t="s">
        <v>90</v>
      </c>
      <c r="F1835" s="20" t="s">
        <v>79</v>
      </c>
      <c r="G1835" s="21">
        <f t="shared" ref="G1835:G1836" si="318">B1837</f>
        <v>4</v>
      </c>
      <c r="H1835" s="25">
        <f>G1835+(G1836/60)</f>
        <v>4.166666667</v>
      </c>
      <c r="I1835" s="25">
        <f>H1832-H1835</f>
        <v>0</v>
      </c>
      <c r="J1835" s="22" t="s">
        <v>91</v>
      </c>
      <c r="K1835" s="23">
        <f>B1847/B1848</f>
        <v>0</v>
      </c>
      <c r="P1835" s="19"/>
    </row>
    <row r="1836">
      <c r="A1836" s="12" t="s">
        <v>85</v>
      </c>
      <c r="B1836" s="27"/>
      <c r="C1836" s="14"/>
      <c r="D1836" s="28" t="s">
        <v>92</v>
      </c>
      <c r="E1836" s="25">
        <f>E1832/H1841</f>
        <v>218181.8182</v>
      </c>
      <c r="F1836" s="20" t="s">
        <v>82</v>
      </c>
      <c r="G1836" s="21">
        <f t="shared" si="318"/>
        <v>10</v>
      </c>
      <c r="J1836" s="22" t="s">
        <v>93</v>
      </c>
      <c r="K1836" s="23">
        <f>B1849/B1850</f>
        <v>0</v>
      </c>
      <c r="P1836" s="19"/>
    </row>
    <row r="1837">
      <c r="A1837" s="24" t="s">
        <v>79</v>
      </c>
      <c r="B1837" s="13">
        <v>4.0</v>
      </c>
      <c r="C1837" s="14"/>
      <c r="D1837" s="28" t="s">
        <v>94</v>
      </c>
      <c r="E1837" s="25">
        <f>E1832/I1832</f>
        <v>166666.6667</v>
      </c>
      <c r="J1837" s="22" t="s">
        <v>95</v>
      </c>
      <c r="K1837" s="23">
        <f>B1851/B1852</f>
        <v>0</v>
      </c>
      <c r="P1837" s="19"/>
    </row>
    <row r="1838">
      <c r="A1838" s="24" t="s">
        <v>89</v>
      </c>
      <c r="B1838" s="13">
        <v>10.0</v>
      </c>
      <c r="C1838" s="14"/>
      <c r="D1838" s="28" t="s">
        <v>96</v>
      </c>
      <c r="E1838" s="25">
        <f>E1836/I1832</f>
        <v>36363.63636</v>
      </c>
      <c r="J1838" s="29" t="s">
        <v>97</v>
      </c>
      <c r="K1838" s="30">
        <f>SUM(K1832:K1837)</f>
        <v>0</v>
      </c>
      <c r="P1838" s="19"/>
    </row>
    <row r="1839">
      <c r="A1839" s="12" t="s">
        <v>98</v>
      </c>
      <c r="B1839" s="13">
        <v>6.0</v>
      </c>
      <c r="C1839" s="14"/>
      <c r="D1839" s="28" t="s">
        <v>99</v>
      </c>
      <c r="E1839" s="31">
        <f>E1838/12</f>
        <v>3030.30303</v>
      </c>
      <c r="I1839" s="29"/>
      <c r="J1839" s="29" t="s">
        <v>100</v>
      </c>
      <c r="K1839" s="30">
        <f>H1849</f>
        <v>0</v>
      </c>
      <c r="P1839" s="19"/>
    </row>
    <row r="1840">
      <c r="A1840" s="32"/>
      <c r="B1840" s="14"/>
      <c r="C1840" s="14"/>
      <c r="D1840" s="28" t="s">
        <v>101</v>
      </c>
      <c r="E1840" s="25">
        <f>E1839*5</f>
        <v>15151.51515</v>
      </c>
      <c r="J1840" s="29" t="s">
        <v>102</v>
      </c>
      <c r="K1840" s="30">
        <f>E1841</f>
        <v>18181.81818</v>
      </c>
      <c r="P1840" s="19"/>
    </row>
    <row r="1841">
      <c r="A1841" s="33" t="s">
        <v>103</v>
      </c>
      <c r="B1841" s="34">
        <v>0.0</v>
      </c>
      <c r="C1841" s="14"/>
      <c r="D1841" s="28" t="s">
        <v>104</v>
      </c>
      <c r="E1841" s="25">
        <f>E1839*6</f>
        <v>18181.81818</v>
      </c>
      <c r="G1841" s="35" t="s">
        <v>105</v>
      </c>
      <c r="H1841" s="36">
        <f>H1832+(25/60)</f>
        <v>4.583333333</v>
      </c>
      <c r="J1841" s="29" t="s">
        <v>106</v>
      </c>
      <c r="K1841" s="30">
        <f>E1849</f>
        <v>20000</v>
      </c>
      <c r="P1841" s="19"/>
    </row>
    <row r="1842">
      <c r="A1842" s="37" t="s">
        <v>107</v>
      </c>
      <c r="B1842" s="38">
        <v>1.0</v>
      </c>
      <c r="C1842" s="14"/>
      <c r="G1842" s="35" t="s">
        <v>108</v>
      </c>
      <c r="H1842" s="36">
        <f>I1835+(25/60)</f>
        <v>0.4166666667</v>
      </c>
      <c r="I1842" s="39" t="s">
        <v>109</v>
      </c>
      <c r="P1842" s="19"/>
    </row>
    <row r="1843">
      <c r="A1843" s="40" t="s">
        <v>110</v>
      </c>
      <c r="B1843" s="13">
        <v>0.0</v>
      </c>
      <c r="C1843" s="14"/>
      <c r="D1843" s="16" t="s">
        <v>111</v>
      </c>
      <c r="G1843" s="16" t="s">
        <v>112</v>
      </c>
      <c r="H1843" s="36"/>
      <c r="I1843" s="39" t="s">
        <v>113</v>
      </c>
      <c r="P1843" s="19"/>
    </row>
    <row r="1844">
      <c r="A1844" s="37" t="s">
        <v>114</v>
      </c>
      <c r="B1844" s="38">
        <v>1.0</v>
      </c>
      <c r="C1844" s="14"/>
      <c r="D1844" s="28" t="s">
        <v>92</v>
      </c>
      <c r="E1844" s="25">
        <f>E1833/H1835</f>
        <v>240000</v>
      </c>
      <c r="G1844" s="28" t="s">
        <v>92</v>
      </c>
      <c r="H1844" s="36">
        <f>E1834/H1842</f>
        <v>0</v>
      </c>
      <c r="I1844" s="39" t="s">
        <v>115</v>
      </c>
      <c r="P1844" s="19"/>
    </row>
    <row r="1845">
      <c r="A1845" s="40" t="s">
        <v>116</v>
      </c>
      <c r="B1845" s="13">
        <v>0.0</v>
      </c>
      <c r="C1845" s="14"/>
      <c r="D1845" s="28" t="s">
        <v>94</v>
      </c>
      <c r="E1845" s="25">
        <f>E1833/I1832</f>
        <v>166666.6667</v>
      </c>
      <c r="G1845" s="28" t="s">
        <v>94</v>
      </c>
      <c r="H1845" s="36">
        <f>E1834/I1832</f>
        <v>0</v>
      </c>
      <c r="I1845" s="39" t="s">
        <v>117</v>
      </c>
      <c r="P1845" s="19"/>
    </row>
    <row r="1846">
      <c r="A1846" s="37" t="s">
        <v>118</v>
      </c>
      <c r="B1846" s="38">
        <v>1.0</v>
      </c>
      <c r="C1846" s="14"/>
      <c r="D1846" s="28" t="s">
        <v>96</v>
      </c>
      <c r="E1846" s="25">
        <f>E1845/H1835</f>
        <v>40000</v>
      </c>
      <c r="G1846" s="28" t="s">
        <v>96</v>
      </c>
      <c r="H1846" s="36">
        <f>H1845/H1842</f>
        <v>0</v>
      </c>
      <c r="P1846" s="19"/>
    </row>
    <row r="1847">
      <c r="A1847" s="40" t="s">
        <v>119</v>
      </c>
      <c r="B1847" s="13">
        <v>0.0</v>
      </c>
      <c r="C1847" s="14"/>
      <c r="D1847" s="28" t="s">
        <v>99</v>
      </c>
      <c r="E1847" s="25">
        <f>E1846/12</f>
        <v>3333.333333</v>
      </c>
      <c r="G1847" s="28" t="s">
        <v>99</v>
      </c>
      <c r="H1847" s="36">
        <f>H1846/12</f>
        <v>0</v>
      </c>
      <c r="P1847" s="19"/>
    </row>
    <row r="1848">
      <c r="A1848" s="37" t="s">
        <v>120</v>
      </c>
      <c r="B1848" s="38">
        <v>1.0</v>
      </c>
      <c r="C1848" s="14"/>
      <c r="D1848" s="28" t="s">
        <v>101</v>
      </c>
      <c r="E1848" s="25">
        <f>E1847*5</f>
        <v>16666.66667</v>
      </c>
      <c r="G1848" s="28" t="s">
        <v>101</v>
      </c>
      <c r="H1848" s="36">
        <f>H1847*5</f>
        <v>0</v>
      </c>
      <c r="P1848" s="19"/>
    </row>
    <row r="1849">
      <c r="A1849" s="40" t="s">
        <v>121</v>
      </c>
      <c r="B1849" s="13">
        <v>0.0</v>
      </c>
      <c r="C1849" s="14"/>
      <c r="D1849" s="28" t="s">
        <v>104</v>
      </c>
      <c r="E1849" s="25">
        <f>E1847*6</f>
        <v>20000</v>
      </c>
      <c r="G1849" s="28" t="s">
        <v>104</v>
      </c>
      <c r="H1849" s="36">
        <f>H1847*6</f>
        <v>0</v>
      </c>
      <c r="P1849" s="19"/>
    </row>
    <row r="1850">
      <c r="A1850" s="37" t="s">
        <v>122</v>
      </c>
      <c r="B1850" s="38">
        <v>1.0</v>
      </c>
      <c r="C1850" s="14"/>
      <c r="P1850" s="19"/>
    </row>
    <row r="1851">
      <c r="A1851" s="40" t="s">
        <v>123</v>
      </c>
      <c r="B1851" s="13">
        <v>0.0</v>
      </c>
      <c r="C1851" s="14"/>
      <c r="D1851" s="28" t="s">
        <v>124</v>
      </c>
      <c r="E1851" s="41"/>
      <c r="F1851" s="41"/>
      <c r="P1851" s="19"/>
    </row>
    <row r="1852">
      <c r="A1852" s="37" t="s">
        <v>125</v>
      </c>
      <c r="B1852" s="38">
        <v>1.0</v>
      </c>
      <c r="C1852" s="14"/>
      <c r="D1852" s="4" t="s">
        <v>126</v>
      </c>
      <c r="E1852" s="25">
        <f t="shared" ref="E1852:E1855" si="319">H1846-E1846</f>
        <v>-40000</v>
      </c>
      <c r="P1852" s="19"/>
    </row>
    <row r="1853">
      <c r="A1853" s="42" t="s">
        <v>127</v>
      </c>
      <c r="C1853" s="14"/>
      <c r="D1853" s="4" t="s">
        <v>128</v>
      </c>
      <c r="E1853" s="25">
        <f t="shared" si="319"/>
        <v>-3333.333333</v>
      </c>
      <c r="P1853" s="19"/>
    </row>
    <row r="1854">
      <c r="A1854" s="32"/>
      <c r="C1854" s="14"/>
      <c r="D1854" s="4" t="s">
        <v>129</v>
      </c>
      <c r="E1854" s="25">
        <f t="shared" si="319"/>
        <v>-16666.66667</v>
      </c>
      <c r="G1854" s="43"/>
      <c r="P1854" s="19"/>
    </row>
    <row r="1855">
      <c r="A1855" s="32"/>
      <c r="C1855" s="14"/>
      <c r="D1855" s="4" t="s">
        <v>130</v>
      </c>
      <c r="E1855" s="25">
        <f t="shared" si="319"/>
        <v>-20000</v>
      </c>
      <c r="P1855" s="19"/>
    </row>
    <row r="1856">
      <c r="A1856" s="24"/>
      <c r="C1856" s="14"/>
      <c r="D1856" s="28" t="s">
        <v>131</v>
      </c>
      <c r="P1856" s="19"/>
    </row>
    <row r="1857">
      <c r="A1857" s="32"/>
      <c r="C1857" s="14"/>
      <c r="D1857" s="4" t="s">
        <v>132</v>
      </c>
      <c r="E1857" s="25">
        <f t="shared" ref="E1857:E1860" si="320">H1846-E1838</f>
        <v>-36363.63636</v>
      </c>
      <c r="P1857" s="19"/>
    </row>
    <row r="1858">
      <c r="A1858" s="32"/>
      <c r="C1858" s="14"/>
      <c r="D1858" s="4" t="s">
        <v>133</v>
      </c>
      <c r="E1858" s="25">
        <f t="shared" si="320"/>
        <v>-3030.30303</v>
      </c>
      <c r="G1858" s="28" t="s">
        <v>134</v>
      </c>
      <c r="I1858" s="35" t="s">
        <v>135</v>
      </c>
      <c r="J1858" s="35" t="s">
        <v>82</v>
      </c>
      <c r="P1858" s="19"/>
    </row>
    <row r="1859">
      <c r="A1859" s="32"/>
      <c r="C1859" s="14"/>
      <c r="D1859" s="4" t="s">
        <v>136</v>
      </c>
      <c r="E1859" s="25">
        <f t="shared" si="320"/>
        <v>-15151.51515</v>
      </c>
      <c r="G1859" s="35" t="s">
        <v>137</v>
      </c>
      <c r="H1859" s="25" t="str">
        <f>(E1832/H1844)-(25/60)</f>
        <v>#DIV/0!</v>
      </c>
      <c r="I1859" s="25" t="str">
        <f t="shared" ref="I1859:I1860" si="321">INT(H1859)</f>
        <v>#DIV/0!</v>
      </c>
      <c r="J1859" s="36" t="str">
        <f t="shared" ref="J1859:J1860" si="322">INT((H1859-I1859)*60)</f>
        <v>#DIV/0!</v>
      </c>
      <c r="P1859" s="19"/>
    </row>
    <row r="1860">
      <c r="A1860" s="44"/>
      <c r="B1860" s="45"/>
      <c r="C1860" s="46"/>
      <c r="D1860" s="47" t="s">
        <v>138</v>
      </c>
      <c r="E1860" s="45">
        <f t="shared" si="320"/>
        <v>-18181.81818</v>
      </c>
      <c r="F1860" s="45"/>
      <c r="G1860" s="48" t="s">
        <v>139</v>
      </c>
      <c r="H1860" s="45" t="str">
        <f>H1832-H1859</f>
        <v>#DIV/0!</v>
      </c>
      <c r="I1860" s="45" t="str">
        <f t="shared" si="321"/>
        <v>#DIV/0!</v>
      </c>
      <c r="J1860" s="49" t="str">
        <f t="shared" si="322"/>
        <v>#DIV/0!</v>
      </c>
      <c r="K1860" s="45"/>
      <c r="L1860" s="45"/>
      <c r="M1860" s="45"/>
      <c r="N1860" s="45"/>
      <c r="O1860" s="45"/>
      <c r="P1860" s="50"/>
    </row>
    <row r="1861">
      <c r="A1861" s="51"/>
      <c r="B1861" s="51"/>
      <c r="D1861" s="51"/>
    </row>
    <row r="1862">
      <c r="D1862" s="51"/>
      <c r="I1862" s="51"/>
    </row>
    <row r="1863">
      <c r="D1863" s="51"/>
      <c r="I1863" s="51"/>
    </row>
    <row r="1864">
      <c r="D1864" s="51"/>
      <c r="G1864" s="51"/>
    </row>
    <row r="1865">
      <c r="G1865" s="51"/>
    </row>
    <row r="1866">
      <c r="D1866" s="51"/>
      <c r="G1866" s="51"/>
    </row>
    <row r="1867">
      <c r="D1867" s="51"/>
      <c r="G1867" s="51"/>
    </row>
    <row r="1868">
      <c r="D1868" s="51"/>
      <c r="G1868" s="51"/>
    </row>
    <row r="1869">
      <c r="D1869" s="51"/>
      <c r="G1869" s="51"/>
    </row>
    <row r="1870">
      <c r="A1870" s="6" t="s">
        <v>70</v>
      </c>
      <c r="B1870" s="52"/>
      <c r="C1870" s="8"/>
      <c r="D1870" s="9" t="s">
        <v>71</v>
      </c>
      <c r="E1870" s="10"/>
      <c r="F1870" s="10"/>
      <c r="G1870" s="10"/>
      <c r="H1870" s="10"/>
      <c r="I1870" s="10"/>
      <c r="J1870" s="10"/>
      <c r="K1870" s="9"/>
      <c r="L1870" s="10"/>
      <c r="M1870" s="10"/>
      <c r="N1870" s="10"/>
      <c r="O1870" s="10"/>
      <c r="P1870" s="11"/>
    </row>
    <row r="1871">
      <c r="A1871" s="12" t="s">
        <v>72</v>
      </c>
      <c r="B1871" s="13">
        <v>1000000.0</v>
      </c>
      <c r="C1871" s="14"/>
      <c r="D1871" s="53" t="str">
        <f>B1870</f>
        <v/>
      </c>
      <c r="E1871" s="16" t="s">
        <v>73</v>
      </c>
      <c r="F1871" s="17"/>
      <c r="G1871" s="16" t="s">
        <v>74</v>
      </c>
      <c r="H1871" s="16" t="s">
        <v>75</v>
      </c>
      <c r="I1871" s="16" t="s">
        <v>76</v>
      </c>
      <c r="J1871" s="18" t="s">
        <v>77</v>
      </c>
      <c r="P1871" s="19"/>
    </row>
    <row r="1872">
      <c r="A1872" s="12" t="s">
        <v>78</v>
      </c>
      <c r="B1872" s="13">
        <v>1000000.0</v>
      </c>
      <c r="C1872" s="14"/>
      <c r="D1872" s="20" t="s">
        <v>72</v>
      </c>
      <c r="E1872" s="21">
        <f t="shared" ref="E1872:E1873" si="323">B1871</f>
        <v>1000000</v>
      </c>
      <c r="F1872" s="20" t="s">
        <v>79</v>
      </c>
      <c r="G1872" s="21">
        <f t="shared" ref="G1872:G1873" si="324">B1874</f>
        <v>4</v>
      </c>
      <c r="H1872" s="4">
        <f>G1872+(G1873/60)</f>
        <v>4.166666667</v>
      </c>
      <c r="I1872" s="21">
        <f>B1879</f>
        <v>6</v>
      </c>
      <c r="J1872" s="22" t="s">
        <v>80</v>
      </c>
      <c r="K1872" s="23">
        <f>B1881/B1882</f>
        <v>0</v>
      </c>
      <c r="P1872" s="19"/>
    </row>
    <row r="1873">
      <c r="A1873" s="12" t="s">
        <v>81</v>
      </c>
      <c r="B1873" s="14"/>
      <c r="C1873" s="14"/>
      <c r="D1873" s="20" t="s">
        <v>78</v>
      </c>
      <c r="E1873" s="21">
        <f t="shared" si="323"/>
        <v>1000000</v>
      </c>
      <c r="F1873" s="20" t="s">
        <v>82</v>
      </c>
      <c r="G1873" s="21">
        <f t="shared" si="324"/>
        <v>10</v>
      </c>
      <c r="J1873" s="22" t="s">
        <v>83</v>
      </c>
      <c r="K1873" s="23">
        <f>B1883/B1884</f>
        <v>0</v>
      </c>
      <c r="P1873" s="19"/>
    </row>
    <row r="1874">
      <c r="A1874" s="24" t="s">
        <v>79</v>
      </c>
      <c r="B1874" s="13">
        <v>4.0</v>
      </c>
      <c r="C1874" s="14"/>
      <c r="D1874" s="20" t="s">
        <v>84</v>
      </c>
      <c r="E1874" s="25">
        <f>E1872-E1873</f>
        <v>0</v>
      </c>
      <c r="F1874" s="26"/>
      <c r="G1874" s="16" t="s">
        <v>85</v>
      </c>
      <c r="H1874" s="16" t="s">
        <v>86</v>
      </c>
      <c r="I1874" s="16" t="s">
        <v>87</v>
      </c>
      <c r="J1874" s="22" t="s">
        <v>88</v>
      </c>
      <c r="K1874" s="23">
        <f>B1885/B1886</f>
        <v>0</v>
      </c>
      <c r="P1874" s="19"/>
    </row>
    <row r="1875">
      <c r="A1875" s="24" t="s">
        <v>89</v>
      </c>
      <c r="B1875" s="13">
        <v>10.0</v>
      </c>
      <c r="C1875" s="14"/>
      <c r="D1875" s="16" t="s">
        <v>90</v>
      </c>
      <c r="F1875" s="20" t="s">
        <v>79</v>
      </c>
      <c r="G1875" s="21">
        <f t="shared" ref="G1875:G1876" si="325">B1877</f>
        <v>4</v>
      </c>
      <c r="H1875" s="25">
        <f>G1875+(G1876/60)</f>
        <v>4.166666667</v>
      </c>
      <c r="I1875" s="25">
        <f>H1872-H1875</f>
        <v>0</v>
      </c>
      <c r="J1875" s="22" t="s">
        <v>91</v>
      </c>
      <c r="K1875" s="23">
        <f>B1887/B1888</f>
        <v>0</v>
      </c>
      <c r="P1875" s="19"/>
    </row>
    <row r="1876">
      <c r="A1876" s="12" t="s">
        <v>85</v>
      </c>
      <c r="B1876" s="27"/>
      <c r="C1876" s="14"/>
      <c r="D1876" s="28" t="s">
        <v>92</v>
      </c>
      <c r="E1876" s="25">
        <f>E1872/H1881</f>
        <v>218181.8182</v>
      </c>
      <c r="F1876" s="20" t="s">
        <v>82</v>
      </c>
      <c r="G1876" s="21">
        <f t="shared" si="325"/>
        <v>10</v>
      </c>
      <c r="J1876" s="22" t="s">
        <v>93</v>
      </c>
      <c r="K1876" s="23">
        <f>B1889/B1890</f>
        <v>0</v>
      </c>
      <c r="P1876" s="19"/>
    </row>
    <row r="1877">
      <c r="A1877" s="24" t="s">
        <v>79</v>
      </c>
      <c r="B1877" s="13">
        <v>4.0</v>
      </c>
      <c r="C1877" s="14"/>
      <c r="D1877" s="28" t="s">
        <v>94</v>
      </c>
      <c r="E1877" s="25">
        <f>E1872/I1872</f>
        <v>166666.6667</v>
      </c>
      <c r="J1877" s="22" t="s">
        <v>95</v>
      </c>
      <c r="K1877" s="23">
        <f>B1891/B1892</f>
        <v>0</v>
      </c>
      <c r="P1877" s="19"/>
    </row>
    <row r="1878">
      <c r="A1878" s="24" t="s">
        <v>89</v>
      </c>
      <c r="B1878" s="13">
        <v>10.0</v>
      </c>
      <c r="C1878" s="14"/>
      <c r="D1878" s="28" t="s">
        <v>96</v>
      </c>
      <c r="E1878" s="25">
        <f>E1876/I1872</f>
        <v>36363.63636</v>
      </c>
      <c r="J1878" s="29" t="s">
        <v>97</v>
      </c>
      <c r="K1878" s="30">
        <f>SUM(K1872:K1877)</f>
        <v>0</v>
      </c>
      <c r="P1878" s="19"/>
    </row>
    <row r="1879">
      <c r="A1879" s="12" t="s">
        <v>98</v>
      </c>
      <c r="B1879" s="13">
        <v>6.0</v>
      </c>
      <c r="C1879" s="14"/>
      <c r="D1879" s="28" t="s">
        <v>99</v>
      </c>
      <c r="E1879" s="31">
        <f>E1878/12</f>
        <v>3030.30303</v>
      </c>
      <c r="I1879" s="29"/>
      <c r="J1879" s="29" t="s">
        <v>100</v>
      </c>
      <c r="K1879" s="30">
        <f>H1889</f>
        <v>0</v>
      </c>
      <c r="P1879" s="19"/>
    </row>
    <row r="1880">
      <c r="A1880" s="32"/>
      <c r="B1880" s="14"/>
      <c r="C1880" s="14"/>
      <c r="D1880" s="28" t="s">
        <v>101</v>
      </c>
      <c r="E1880" s="25">
        <f>E1879*5</f>
        <v>15151.51515</v>
      </c>
      <c r="J1880" s="29" t="s">
        <v>102</v>
      </c>
      <c r="K1880" s="30">
        <f>E1881</f>
        <v>18181.81818</v>
      </c>
      <c r="P1880" s="19"/>
    </row>
    <row r="1881">
      <c r="A1881" s="33" t="s">
        <v>103</v>
      </c>
      <c r="B1881" s="34">
        <v>0.0</v>
      </c>
      <c r="C1881" s="14"/>
      <c r="D1881" s="28" t="s">
        <v>104</v>
      </c>
      <c r="E1881" s="25">
        <f>E1879*6</f>
        <v>18181.81818</v>
      </c>
      <c r="G1881" s="35" t="s">
        <v>105</v>
      </c>
      <c r="H1881" s="36">
        <f>H1872+(25/60)</f>
        <v>4.583333333</v>
      </c>
      <c r="J1881" s="29" t="s">
        <v>106</v>
      </c>
      <c r="K1881" s="30">
        <f>E1889</f>
        <v>20000</v>
      </c>
      <c r="P1881" s="19"/>
    </row>
    <row r="1882">
      <c r="A1882" s="37" t="s">
        <v>107</v>
      </c>
      <c r="B1882" s="38">
        <v>1.0</v>
      </c>
      <c r="C1882" s="14"/>
      <c r="G1882" s="35" t="s">
        <v>108</v>
      </c>
      <c r="H1882" s="36">
        <f>I1875+(25/60)</f>
        <v>0.4166666667</v>
      </c>
      <c r="I1882" s="39" t="s">
        <v>109</v>
      </c>
      <c r="P1882" s="19"/>
    </row>
    <row r="1883">
      <c r="A1883" s="40" t="s">
        <v>110</v>
      </c>
      <c r="B1883" s="13">
        <v>0.0</v>
      </c>
      <c r="C1883" s="14"/>
      <c r="D1883" s="16" t="s">
        <v>111</v>
      </c>
      <c r="G1883" s="16" t="s">
        <v>112</v>
      </c>
      <c r="H1883" s="36"/>
      <c r="I1883" s="39" t="s">
        <v>113</v>
      </c>
      <c r="P1883" s="19"/>
    </row>
    <row r="1884">
      <c r="A1884" s="37" t="s">
        <v>114</v>
      </c>
      <c r="B1884" s="38">
        <v>1.0</v>
      </c>
      <c r="C1884" s="14"/>
      <c r="D1884" s="28" t="s">
        <v>92</v>
      </c>
      <c r="E1884" s="25">
        <f>E1873/H1875</f>
        <v>240000</v>
      </c>
      <c r="G1884" s="28" t="s">
        <v>92</v>
      </c>
      <c r="H1884" s="36">
        <f>E1874/H1882</f>
        <v>0</v>
      </c>
      <c r="I1884" s="39" t="s">
        <v>115</v>
      </c>
      <c r="P1884" s="19"/>
    </row>
    <row r="1885">
      <c r="A1885" s="40" t="s">
        <v>116</v>
      </c>
      <c r="B1885" s="13">
        <v>0.0</v>
      </c>
      <c r="C1885" s="14"/>
      <c r="D1885" s="28" t="s">
        <v>94</v>
      </c>
      <c r="E1885" s="25">
        <f>E1873/I1872</f>
        <v>166666.6667</v>
      </c>
      <c r="G1885" s="28" t="s">
        <v>94</v>
      </c>
      <c r="H1885" s="36">
        <f>E1874/I1872</f>
        <v>0</v>
      </c>
      <c r="I1885" s="39" t="s">
        <v>117</v>
      </c>
      <c r="P1885" s="19"/>
    </row>
    <row r="1886">
      <c r="A1886" s="37" t="s">
        <v>118</v>
      </c>
      <c r="B1886" s="38">
        <v>1.0</v>
      </c>
      <c r="C1886" s="14"/>
      <c r="D1886" s="28" t="s">
        <v>96</v>
      </c>
      <c r="E1886" s="25">
        <f>E1885/H1875</f>
        <v>40000</v>
      </c>
      <c r="G1886" s="28" t="s">
        <v>96</v>
      </c>
      <c r="H1886" s="36">
        <f>H1885/H1882</f>
        <v>0</v>
      </c>
      <c r="P1886" s="19"/>
    </row>
    <row r="1887">
      <c r="A1887" s="40" t="s">
        <v>119</v>
      </c>
      <c r="B1887" s="13">
        <v>0.0</v>
      </c>
      <c r="C1887" s="14"/>
      <c r="D1887" s="28" t="s">
        <v>99</v>
      </c>
      <c r="E1887" s="25">
        <f>E1886/12</f>
        <v>3333.333333</v>
      </c>
      <c r="G1887" s="28" t="s">
        <v>99</v>
      </c>
      <c r="H1887" s="36">
        <f>H1886/12</f>
        <v>0</v>
      </c>
      <c r="P1887" s="19"/>
    </row>
    <row r="1888">
      <c r="A1888" s="37" t="s">
        <v>120</v>
      </c>
      <c r="B1888" s="38">
        <v>1.0</v>
      </c>
      <c r="C1888" s="14"/>
      <c r="D1888" s="28" t="s">
        <v>101</v>
      </c>
      <c r="E1888" s="25">
        <f>E1887*5</f>
        <v>16666.66667</v>
      </c>
      <c r="G1888" s="28" t="s">
        <v>101</v>
      </c>
      <c r="H1888" s="36">
        <f>H1887*5</f>
        <v>0</v>
      </c>
      <c r="P1888" s="19"/>
    </row>
    <row r="1889">
      <c r="A1889" s="40" t="s">
        <v>121</v>
      </c>
      <c r="B1889" s="13">
        <v>0.0</v>
      </c>
      <c r="C1889" s="14"/>
      <c r="D1889" s="28" t="s">
        <v>104</v>
      </c>
      <c r="E1889" s="25">
        <f>E1887*6</f>
        <v>20000</v>
      </c>
      <c r="G1889" s="28" t="s">
        <v>104</v>
      </c>
      <c r="H1889" s="36">
        <f>H1887*6</f>
        <v>0</v>
      </c>
      <c r="P1889" s="19"/>
    </row>
    <row r="1890">
      <c r="A1890" s="37" t="s">
        <v>122</v>
      </c>
      <c r="B1890" s="38">
        <v>1.0</v>
      </c>
      <c r="C1890" s="14"/>
      <c r="P1890" s="19"/>
    </row>
    <row r="1891">
      <c r="A1891" s="40" t="s">
        <v>123</v>
      </c>
      <c r="B1891" s="13">
        <v>0.0</v>
      </c>
      <c r="C1891" s="14"/>
      <c r="D1891" s="28" t="s">
        <v>124</v>
      </c>
      <c r="E1891" s="41"/>
      <c r="F1891" s="41"/>
      <c r="P1891" s="19"/>
    </row>
    <row r="1892">
      <c r="A1892" s="37" t="s">
        <v>125</v>
      </c>
      <c r="B1892" s="38">
        <v>1.0</v>
      </c>
      <c r="C1892" s="14"/>
      <c r="D1892" s="4" t="s">
        <v>126</v>
      </c>
      <c r="E1892" s="25">
        <f t="shared" ref="E1892:E1895" si="326">H1886-E1886</f>
        <v>-40000</v>
      </c>
      <c r="P1892" s="19"/>
    </row>
    <row r="1893">
      <c r="A1893" s="42" t="s">
        <v>127</v>
      </c>
      <c r="C1893" s="14"/>
      <c r="D1893" s="4" t="s">
        <v>128</v>
      </c>
      <c r="E1893" s="25">
        <f t="shared" si="326"/>
        <v>-3333.333333</v>
      </c>
      <c r="P1893" s="19"/>
    </row>
    <row r="1894">
      <c r="A1894" s="32"/>
      <c r="C1894" s="14"/>
      <c r="D1894" s="4" t="s">
        <v>129</v>
      </c>
      <c r="E1894" s="25">
        <f t="shared" si="326"/>
        <v>-16666.66667</v>
      </c>
      <c r="G1894" s="43"/>
      <c r="P1894" s="19"/>
    </row>
    <row r="1895">
      <c r="A1895" s="32"/>
      <c r="C1895" s="14"/>
      <c r="D1895" s="4" t="s">
        <v>130</v>
      </c>
      <c r="E1895" s="25">
        <f t="shared" si="326"/>
        <v>-20000</v>
      </c>
      <c r="P1895" s="19"/>
    </row>
    <row r="1896">
      <c r="A1896" s="24"/>
      <c r="C1896" s="14"/>
      <c r="D1896" s="28" t="s">
        <v>131</v>
      </c>
      <c r="P1896" s="19"/>
    </row>
    <row r="1897">
      <c r="A1897" s="32"/>
      <c r="C1897" s="14"/>
      <c r="D1897" s="4" t="s">
        <v>132</v>
      </c>
      <c r="E1897" s="25">
        <f t="shared" ref="E1897:E1900" si="327">H1886-E1878</f>
        <v>-36363.63636</v>
      </c>
      <c r="P1897" s="19"/>
    </row>
    <row r="1898">
      <c r="A1898" s="32"/>
      <c r="C1898" s="14"/>
      <c r="D1898" s="4" t="s">
        <v>133</v>
      </c>
      <c r="E1898" s="25">
        <f t="shared" si="327"/>
        <v>-3030.30303</v>
      </c>
      <c r="G1898" s="28" t="s">
        <v>134</v>
      </c>
      <c r="I1898" s="35" t="s">
        <v>135</v>
      </c>
      <c r="J1898" s="35" t="s">
        <v>82</v>
      </c>
      <c r="P1898" s="19"/>
    </row>
    <row r="1899">
      <c r="A1899" s="32"/>
      <c r="C1899" s="14"/>
      <c r="D1899" s="4" t="s">
        <v>136</v>
      </c>
      <c r="E1899" s="25">
        <f t="shared" si="327"/>
        <v>-15151.51515</v>
      </c>
      <c r="G1899" s="35" t="s">
        <v>137</v>
      </c>
      <c r="H1899" s="25" t="str">
        <f>(E1872/H1884)-(25/60)</f>
        <v>#DIV/0!</v>
      </c>
      <c r="I1899" s="25" t="str">
        <f t="shared" ref="I1899:I1900" si="328">INT(H1899)</f>
        <v>#DIV/0!</v>
      </c>
      <c r="J1899" s="36" t="str">
        <f t="shared" ref="J1899:J1900" si="329">INT((H1899-I1899)*60)</f>
        <v>#DIV/0!</v>
      </c>
      <c r="P1899" s="19"/>
    </row>
    <row r="1900">
      <c r="A1900" s="44"/>
      <c r="B1900" s="45"/>
      <c r="C1900" s="46"/>
      <c r="D1900" s="47" t="s">
        <v>138</v>
      </c>
      <c r="E1900" s="45">
        <f t="shared" si="327"/>
        <v>-18181.81818</v>
      </c>
      <c r="F1900" s="45"/>
      <c r="G1900" s="48" t="s">
        <v>139</v>
      </c>
      <c r="H1900" s="45" t="str">
        <f>H1872-H1899</f>
        <v>#DIV/0!</v>
      </c>
      <c r="I1900" s="45" t="str">
        <f t="shared" si="328"/>
        <v>#DIV/0!</v>
      </c>
      <c r="J1900" s="49" t="str">
        <f t="shared" si="329"/>
        <v>#DIV/0!</v>
      </c>
      <c r="K1900" s="45"/>
      <c r="L1900" s="45"/>
      <c r="M1900" s="45"/>
      <c r="N1900" s="45"/>
      <c r="O1900" s="45"/>
      <c r="P1900" s="50"/>
    </row>
    <row r="1901">
      <c r="A1901" s="51"/>
      <c r="B1901" s="51"/>
      <c r="D1901" s="51"/>
    </row>
    <row r="1902">
      <c r="D1902" s="51"/>
      <c r="I1902" s="51"/>
    </row>
    <row r="1903">
      <c r="D1903" s="51"/>
      <c r="I1903" s="51"/>
    </row>
    <row r="1904">
      <c r="A1904" s="51"/>
      <c r="D1904" s="51"/>
      <c r="G1904" s="51"/>
    </row>
    <row r="1905">
      <c r="A1905" s="51"/>
      <c r="G1905" s="51"/>
    </row>
    <row r="1906">
      <c r="A1906" s="51"/>
      <c r="D1906" s="51"/>
      <c r="G1906" s="51"/>
    </row>
    <row r="1907">
      <c r="A1907" s="51"/>
      <c r="D1907" s="51"/>
      <c r="G1907" s="51"/>
    </row>
    <row r="1908">
      <c r="A1908" s="51"/>
      <c r="D1908" s="51"/>
      <c r="G1908" s="51"/>
    </row>
    <row r="1909">
      <c r="A1909" s="51"/>
      <c r="D1909" s="51"/>
      <c r="G1909" s="51"/>
    </row>
    <row r="1910">
      <c r="A1910" s="6" t="s">
        <v>70</v>
      </c>
      <c r="B1910" s="52"/>
      <c r="C1910" s="8"/>
      <c r="D1910" s="9" t="s">
        <v>71</v>
      </c>
      <c r="E1910" s="10"/>
      <c r="F1910" s="10"/>
      <c r="G1910" s="10"/>
      <c r="H1910" s="10"/>
      <c r="I1910" s="10"/>
      <c r="J1910" s="10"/>
      <c r="K1910" s="9"/>
      <c r="L1910" s="10"/>
      <c r="M1910" s="10"/>
      <c r="N1910" s="10"/>
      <c r="O1910" s="10"/>
      <c r="P1910" s="11"/>
    </row>
    <row r="1911">
      <c r="A1911" s="12" t="s">
        <v>72</v>
      </c>
      <c r="B1911" s="13">
        <v>1000000.0</v>
      </c>
      <c r="C1911" s="14"/>
      <c r="D1911" s="53" t="str">
        <f>B1910</f>
        <v/>
      </c>
      <c r="E1911" s="16" t="s">
        <v>73</v>
      </c>
      <c r="F1911" s="17"/>
      <c r="G1911" s="16" t="s">
        <v>74</v>
      </c>
      <c r="H1911" s="16" t="s">
        <v>75</v>
      </c>
      <c r="I1911" s="16" t="s">
        <v>76</v>
      </c>
      <c r="J1911" s="18" t="s">
        <v>77</v>
      </c>
      <c r="P1911" s="19"/>
    </row>
    <row r="1912">
      <c r="A1912" s="12" t="s">
        <v>78</v>
      </c>
      <c r="B1912" s="13">
        <v>1000000.0</v>
      </c>
      <c r="C1912" s="14"/>
      <c r="D1912" s="20" t="s">
        <v>72</v>
      </c>
      <c r="E1912" s="21">
        <f t="shared" ref="E1912:E1913" si="330">B1911</f>
        <v>1000000</v>
      </c>
      <c r="F1912" s="20" t="s">
        <v>79</v>
      </c>
      <c r="G1912" s="21">
        <f t="shared" ref="G1912:G1913" si="331">B1914</f>
        <v>4</v>
      </c>
      <c r="H1912" s="4">
        <f>G1912+(G1913/60)</f>
        <v>4.166666667</v>
      </c>
      <c r="I1912" s="21">
        <f>B1919</f>
        <v>6</v>
      </c>
      <c r="J1912" s="22" t="s">
        <v>80</v>
      </c>
      <c r="K1912" s="23">
        <f>B1921/B1922</f>
        <v>0</v>
      </c>
      <c r="P1912" s="19"/>
    </row>
    <row r="1913">
      <c r="A1913" s="12" t="s">
        <v>81</v>
      </c>
      <c r="B1913" s="14"/>
      <c r="C1913" s="14"/>
      <c r="D1913" s="20" t="s">
        <v>78</v>
      </c>
      <c r="E1913" s="21">
        <f t="shared" si="330"/>
        <v>1000000</v>
      </c>
      <c r="F1913" s="20" t="s">
        <v>82</v>
      </c>
      <c r="G1913" s="21">
        <f t="shared" si="331"/>
        <v>10</v>
      </c>
      <c r="J1913" s="22" t="s">
        <v>83</v>
      </c>
      <c r="K1913" s="23">
        <f>B1923/B1924</f>
        <v>0</v>
      </c>
      <c r="P1913" s="19"/>
    </row>
    <row r="1914">
      <c r="A1914" s="24" t="s">
        <v>79</v>
      </c>
      <c r="B1914" s="13">
        <v>4.0</v>
      </c>
      <c r="C1914" s="14"/>
      <c r="D1914" s="20" t="s">
        <v>84</v>
      </c>
      <c r="E1914" s="25">
        <f>E1912-E1913</f>
        <v>0</v>
      </c>
      <c r="F1914" s="26"/>
      <c r="G1914" s="16" t="s">
        <v>85</v>
      </c>
      <c r="H1914" s="16" t="s">
        <v>86</v>
      </c>
      <c r="I1914" s="16" t="s">
        <v>87</v>
      </c>
      <c r="J1914" s="22" t="s">
        <v>88</v>
      </c>
      <c r="K1914" s="23">
        <f>B1925/B1926</f>
        <v>0</v>
      </c>
      <c r="P1914" s="19"/>
    </row>
    <row r="1915">
      <c r="A1915" s="24" t="s">
        <v>89</v>
      </c>
      <c r="B1915" s="13">
        <v>10.0</v>
      </c>
      <c r="C1915" s="14"/>
      <c r="D1915" s="16" t="s">
        <v>90</v>
      </c>
      <c r="F1915" s="20" t="s">
        <v>79</v>
      </c>
      <c r="G1915" s="21">
        <f t="shared" ref="G1915:G1916" si="332">B1917</f>
        <v>4</v>
      </c>
      <c r="H1915" s="25">
        <f>G1915+(G1916/60)</f>
        <v>4.166666667</v>
      </c>
      <c r="I1915" s="25">
        <f>H1912-H1915</f>
        <v>0</v>
      </c>
      <c r="J1915" s="22" t="s">
        <v>91</v>
      </c>
      <c r="K1915" s="23">
        <f>B1927/B1928</f>
        <v>0</v>
      </c>
      <c r="P1915" s="19"/>
    </row>
    <row r="1916">
      <c r="A1916" s="12" t="s">
        <v>85</v>
      </c>
      <c r="B1916" s="27"/>
      <c r="C1916" s="14"/>
      <c r="D1916" s="28" t="s">
        <v>92</v>
      </c>
      <c r="E1916" s="25">
        <f>E1912/H1921</f>
        <v>218181.8182</v>
      </c>
      <c r="F1916" s="20" t="s">
        <v>82</v>
      </c>
      <c r="G1916" s="21">
        <f t="shared" si="332"/>
        <v>10</v>
      </c>
      <c r="J1916" s="22" t="s">
        <v>93</v>
      </c>
      <c r="K1916" s="23">
        <f>B1929/B1930</f>
        <v>0</v>
      </c>
      <c r="P1916" s="19"/>
    </row>
    <row r="1917">
      <c r="A1917" s="24" t="s">
        <v>79</v>
      </c>
      <c r="B1917" s="13">
        <v>4.0</v>
      </c>
      <c r="C1917" s="14"/>
      <c r="D1917" s="28" t="s">
        <v>94</v>
      </c>
      <c r="E1917" s="25">
        <f>E1912/I1912</f>
        <v>166666.6667</v>
      </c>
      <c r="J1917" s="22" t="s">
        <v>95</v>
      </c>
      <c r="K1917" s="23">
        <f>B1931/B1932</f>
        <v>0</v>
      </c>
      <c r="P1917" s="19"/>
    </row>
    <row r="1918">
      <c r="A1918" s="24" t="s">
        <v>89</v>
      </c>
      <c r="B1918" s="13">
        <v>10.0</v>
      </c>
      <c r="C1918" s="14"/>
      <c r="D1918" s="28" t="s">
        <v>96</v>
      </c>
      <c r="E1918" s="25">
        <f>E1916/I1912</f>
        <v>36363.63636</v>
      </c>
      <c r="J1918" s="29" t="s">
        <v>97</v>
      </c>
      <c r="K1918" s="30">
        <f>SUM(K1912:K1917)</f>
        <v>0</v>
      </c>
      <c r="P1918" s="19"/>
    </row>
    <row r="1919">
      <c r="A1919" s="12" t="s">
        <v>98</v>
      </c>
      <c r="B1919" s="13">
        <v>6.0</v>
      </c>
      <c r="C1919" s="14"/>
      <c r="D1919" s="28" t="s">
        <v>99</v>
      </c>
      <c r="E1919" s="31">
        <f>E1918/12</f>
        <v>3030.30303</v>
      </c>
      <c r="I1919" s="29"/>
      <c r="J1919" s="29" t="s">
        <v>100</v>
      </c>
      <c r="K1919" s="30">
        <f>H1929</f>
        <v>0</v>
      </c>
      <c r="P1919" s="19"/>
    </row>
    <row r="1920">
      <c r="A1920" s="32"/>
      <c r="B1920" s="14"/>
      <c r="C1920" s="14"/>
      <c r="D1920" s="28" t="s">
        <v>101</v>
      </c>
      <c r="E1920" s="25">
        <f>E1919*5</f>
        <v>15151.51515</v>
      </c>
      <c r="J1920" s="29" t="s">
        <v>102</v>
      </c>
      <c r="K1920" s="30">
        <f>E1921</f>
        <v>18181.81818</v>
      </c>
      <c r="P1920" s="19"/>
    </row>
    <row r="1921">
      <c r="A1921" s="33" t="s">
        <v>103</v>
      </c>
      <c r="B1921" s="34">
        <v>0.0</v>
      </c>
      <c r="C1921" s="14"/>
      <c r="D1921" s="28" t="s">
        <v>104</v>
      </c>
      <c r="E1921" s="25">
        <f>E1919*6</f>
        <v>18181.81818</v>
      </c>
      <c r="G1921" s="35" t="s">
        <v>105</v>
      </c>
      <c r="H1921" s="36">
        <f>H1912+(25/60)</f>
        <v>4.583333333</v>
      </c>
      <c r="J1921" s="29" t="s">
        <v>106</v>
      </c>
      <c r="K1921" s="30">
        <f>E1929</f>
        <v>20000</v>
      </c>
      <c r="P1921" s="19"/>
    </row>
    <row r="1922">
      <c r="A1922" s="37" t="s">
        <v>107</v>
      </c>
      <c r="B1922" s="38">
        <v>1.0</v>
      </c>
      <c r="C1922" s="14"/>
      <c r="G1922" s="35" t="s">
        <v>108</v>
      </c>
      <c r="H1922" s="36">
        <f>I1915+(25/60)</f>
        <v>0.4166666667</v>
      </c>
      <c r="I1922" s="39" t="s">
        <v>109</v>
      </c>
      <c r="P1922" s="19"/>
    </row>
    <row r="1923">
      <c r="A1923" s="40" t="s">
        <v>110</v>
      </c>
      <c r="B1923" s="13">
        <v>0.0</v>
      </c>
      <c r="C1923" s="14"/>
      <c r="D1923" s="16" t="s">
        <v>111</v>
      </c>
      <c r="G1923" s="16" t="s">
        <v>112</v>
      </c>
      <c r="H1923" s="36"/>
      <c r="I1923" s="39" t="s">
        <v>113</v>
      </c>
      <c r="P1923" s="19"/>
    </row>
    <row r="1924">
      <c r="A1924" s="37" t="s">
        <v>114</v>
      </c>
      <c r="B1924" s="38">
        <v>1.0</v>
      </c>
      <c r="C1924" s="14"/>
      <c r="D1924" s="28" t="s">
        <v>92</v>
      </c>
      <c r="E1924" s="25">
        <f>E1913/H1915</f>
        <v>240000</v>
      </c>
      <c r="G1924" s="28" t="s">
        <v>92</v>
      </c>
      <c r="H1924" s="36">
        <f>E1914/H1922</f>
        <v>0</v>
      </c>
      <c r="I1924" s="39" t="s">
        <v>115</v>
      </c>
      <c r="P1924" s="19"/>
    </row>
    <row r="1925">
      <c r="A1925" s="40" t="s">
        <v>116</v>
      </c>
      <c r="B1925" s="13">
        <v>0.0</v>
      </c>
      <c r="C1925" s="14"/>
      <c r="D1925" s="28" t="s">
        <v>94</v>
      </c>
      <c r="E1925" s="25">
        <f>E1913/I1912</f>
        <v>166666.6667</v>
      </c>
      <c r="G1925" s="28" t="s">
        <v>94</v>
      </c>
      <c r="H1925" s="36">
        <f>E1914/I1912</f>
        <v>0</v>
      </c>
      <c r="I1925" s="39" t="s">
        <v>117</v>
      </c>
      <c r="P1925" s="19"/>
    </row>
    <row r="1926">
      <c r="A1926" s="37" t="s">
        <v>118</v>
      </c>
      <c r="B1926" s="38">
        <v>1.0</v>
      </c>
      <c r="C1926" s="14"/>
      <c r="D1926" s="28" t="s">
        <v>96</v>
      </c>
      <c r="E1926" s="25">
        <f>E1925/H1915</f>
        <v>40000</v>
      </c>
      <c r="G1926" s="28" t="s">
        <v>96</v>
      </c>
      <c r="H1926" s="36">
        <f>H1925/H1922</f>
        <v>0</v>
      </c>
      <c r="P1926" s="19"/>
    </row>
    <row r="1927">
      <c r="A1927" s="40" t="s">
        <v>119</v>
      </c>
      <c r="B1927" s="13">
        <v>0.0</v>
      </c>
      <c r="C1927" s="14"/>
      <c r="D1927" s="28" t="s">
        <v>99</v>
      </c>
      <c r="E1927" s="25">
        <f>E1926/12</f>
        <v>3333.333333</v>
      </c>
      <c r="G1927" s="28" t="s">
        <v>99</v>
      </c>
      <c r="H1927" s="36">
        <f>H1926/12</f>
        <v>0</v>
      </c>
      <c r="P1927" s="19"/>
    </row>
    <row r="1928">
      <c r="A1928" s="37" t="s">
        <v>120</v>
      </c>
      <c r="B1928" s="38">
        <v>1.0</v>
      </c>
      <c r="C1928" s="14"/>
      <c r="D1928" s="28" t="s">
        <v>101</v>
      </c>
      <c r="E1928" s="25">
        <f>E1927*5</f>
        <v>16666.66667</v>
      </c>
      <c r="G1928" s="28" t="s">
        <v>101</v>
      </c>
      <c r="H1928" s="36">
        <f>H1927*5</f>
        <v>0</v>
      </c>
      <c r="P1928" s="19"/>
    </row>
    <row r="1929">
      <c r="A1929" s="40" t="s">
        <v>121</v>
      </c>
      <c r="B1929" s="13">
        <v>0.0</v>
      </c>
      <c r="C1929" s="14"/>
      <c r="D1929" s="28" t="s">
        <v>104</v>
      </c>
      <c r="E1929" s="25">
        <f>E1927*6</f>
        <v>20000</v>
      </c>
      <c r="G1929" s="28" t="s">
        <v>104</v>
      </c>
      <c r="H1929" s="36">
        <f>H1927*6</f>
        <v>0</v>
      </c>
      <c r="P1929" s="19"/>
    </row>
    <row r="1930">
      <c r="A1930" s="37" t="s">
        <v>122</v>
      </c>
      <c r="B1930" s="38">
        <v>1.0</v>
      </c>
      <c r="C1930" s="14"/>
      <c r="P1930" s="19"/>
    </row>
    <row r="1931">
      <c r="A1931" s="40" t="s">
        <v>123</v>
      </c>
      <c r="B1931" s="13">
        <v>0.0</v>
      </c>
      <c r="C1931" s="14"/>
      <c r="D1931" s="28" t="s">
        <v>124</v>
      </c>
      <c r="E1931" s="41"/>
      <c r="F1931" s="41"/>
      <c r="P1931" s="19"/>
    </row>
    <row r="1932">
      <c r="A1932" s="37" t="s">
        <v>125</v>
      </c>
      <c r="B1932" s="38">
        <v>1.0</v>
      </c>
      <c r="C1932" s="14"/>
      <c r="D1932" s="4" t="s">
        <v>126</v>
      </c>
      <c r="E1932" s="25">
        <f t="shared" ref="E1932:E1935" si="333">H1926-E1926</f>
        <v>-40000</v>
      </c>
      <c r="P1932" s="19"/>
    </row>
    <row r="1933">
      <c r="A1933" s="42" t="s">
        <v>127</v>
      </c>
      <c r="C1933" s="14"/>
      <c r="D1933" s="4" t="s">
        <v>128</v>
      </c>
      <c r="E1933" s="25">
        <f t="shared" si="333"/>
        <v>-3333.333333</v>
      </c>
      <c r="P1933" s="19"/>
    </row>
    <row r="1934">
      <c r="A1934" s="32"/>
      <c r="C1934" s="14"/>
      <c r="D1934" s="4" t="s">
        <v>129</v>
      </c>
      <c r="E1934" s="25">
        <f t="shared" si="333"/>
        <v>-16666.66667</v>
      </c>
      <c r="G1934" s="43"/>
      <c r="P1934" s="19"/>
    </row>
    <row r="1935">
      <c r="A1935" s="32"/>
      <c r="C1935" s="14"/>
      <c r="D1935" s="4" t="s">
        <v>130</v>
      </c>
      <c r="E1935" s="25">
        <f t="shared" si="333"/>
        <v>-20000</v>
      </c>
      <c r="P1935" s="19"/>
    </row>
    <row r="1936">
      <c r="A1936" s="24"/>
      <c r="C1936" s="14"/>
      <c r="D1936" s="28" t="s">
        <v>131</v>
      </c>
      <c r="P1936" s="19"/>
    </row>
    <row r="1937">
      <c r="A1937" s="32"/>
      <c r="C1937" s="14"/>
      <c r="D1937" s="4" t="s">
        <v>132</v>
      </c>
      <c r="E1937" s="25">
        <f t="shared" ref="E1937:E1940" si="334">H1926-E1918</f>
        <v>-36363.63636</v>
      </c>
      <c r="P1937" s="19"/>
    </row>
    <row r="1938">
      <c r="A1938" s="32"/>
      <c r="C1938" s="14"/>
      <c r="D1938" s="4" t="s">
        <v>133</v>
      </c>
      <c r="E1938" s="25">
        <f t="shared" si="334"/>
        <v>-3030.30303</v>
      </c>
      <c r="G1938" s="28" t="s">
        <v>134</v>
      </c>
      <c r="I1938" s="35" t="s">
        <v>135</v>
      </c>
      <c r="J1938" s="35" t="s">
        <v>82</v>
      </c>
      <c r="P1938" s="19"/>
    </row>
    <row r="1939">
      <c r="A1939" s="32"/>
      <c r="C1939" s="14"/>
      <c r="D1939" s="4" t="s">
        <v>136</v>
      </c>
      <c r="E1939" s="25">
        <f t="shared" si="334"/>
        <v>-15151.51515</v>
      </c>
      <c r="G1939" s="35" t="s">
        <v>137</v>
      </c>
      <c r="H1939" s="25" t="str">
        <f>(E1912/H1924)-(25/60)</f>
        <v>#DIV/0!</v>
      </c>
      <c r="I1939" s="25" t="str">
        <f t="shared" ref="I1939:I1940" si="335">INT(H1939)</f>
        <v>#DIV/0!</v>
      </c>
      <c r="J1939" s="36" t="str">
        <f t="shared" ref="J1939:J1940" si="336">INT((H1939-I1939)*60)</f>
        <v>#DIV/0!</v>
      </c>
      <c r="P1939" s="19"/>
    </row>
    <row r="1940">
      <c r="A1940" s="44"/>
      <c r="B1940" s="45"/>
      <c r="C1940" s="46"/>
      <c r="D1940" s="47" t="s">
        <v>138</v>
      </c>
      <c r="E1940" s="45">
        <f t="shared" si="334"/>
        <v>-18181.81818</v>
      </c>
      <c r="F1940" s="45"/>
      <c r="G1940" s="48" t="s">
        <v>139</v>
      </c>
      <c r="H1940" s="45" t="str">
        <f>H1912-H1939</f>
        <v>#DIV/0!</v>
      </c>
      <c r="I1940" s="45" t="str">
        <f t="shared" si="335"/>
        <v>#DIV/0!</v>
      </c>
      <c r="J1940" s="49" t="str">
        <f t="shared" si="336"/>
        <v>#DIV/0!</v>
      </c>
      <c r="K1940" s="45"/>
      <c r="L1940" s="45"/>
      <c r="M1940" s="45"/>
      <c r="N1940" s="45"/>
      <c r="O1940" s="45"/>
      <c r="P1940" s="50"/>
    </row>
    <row r="1942">
      <c r="A1942" s="51"/>
      <c r="D1942" s="51"/>
    </row>
    <row r="1943">
      <c r="A1943" s="51"/>
      <c r="B1943" s="51"/>
      <c r="E1943" s="51"/>
      <c r="G1943" s="51"/>
      <c r="H1943" s="51"/>
      <c r="I1943" s="51"/>
    </row>
    <row r="1944">
      <c r="A1944" s="51"/>
      <c r="B1944" s="51"/>
      <c r="D1944" s="51"/>
      <c r="E1944" s="51"/>
      <c r="F1944" s="51"/>
      <c r="G1944" s="51"/>
      <c r="I1944" s="51"/>
    </row>
    <row r="1945">
      <c r="A1945" s="51"/>
      <c r="D1945" s="51"/>
      <c r="E1945" s="51"/>
      <c r="F1945" s="51"/>
      <c r="G1945" s="51"/>
    </row>
    <row r="1946">
      <c r="A1946" s="51"/>
      <c r="B1946" s="51"/>
      <c r="D1946" s="51"/>
      <c r="G1946" s="51"/>
      <c r="H1946" s="51"/>
      <c r="I1946" s="51"/>
    </row>
    <row r="1947">
      <c r="A1947" s="51"/>
      <c r="B1947" s="51"/>
      <c r="F1947" s="51"/>
      <c r="G1947" s="51"/>
    </row>
    <row r="1948">
      <c r="A1948" s="51"/>
      <c r="B1948" s="51"/>
      <c r="F1948" s="51"/>
      <c r="G1948" s="51"/>
    </row>
    <row r="1949">
      <c r="A1949" s="51"/>
      <c r="B1949" s="51"/>
      <c r="D1949" s="51"/>
    </row>
    <row r="1950">
      <c r="A1950" s="6" t="s">
        <v>70</v>
      </c>
      <c r="B1950" s="52"/>
      <c r="C1950" s="8"/>
      <c r="D1950" s="9" t="s">
        <v>71</v>
      </c>
      <c r="E1950" s="10"/>
      <c r="F1950" s="10"/>
      <c r="G1950" s="10"/>
      <c r="H1950" s="10"/>
      <c r="I1950" s="10"/>
      <c r="J1950" s="10"/>
      <c r="K1950" s="9"/>
      <c r="L1950" s="10"/>
      <c r="M1950" s="10"/>
      <c r="N1950" s="10"/>
      <c r="O1950" s="10"/>
      <c r="P1950" s="11"/>
    </row>
    <row r="1951">
      <c r="A1951" s="12" t="s">
        <v>72</v>
      </c>
      <c r="B1951" s="13">
        <v>1000000.0</v>
      </c>
      <c r="C1951" s="14"/>
      <c r="D1951" s="53" t="str">
        <f>B1950</f>
        <v/>
      </c>
      <c r="E1951" s="16" t="s">
        <v>73</v>
      </c>
      <c r="F1951" s="17"/>
      <c r="G1951" s="16" t="s">
        <v>74</v>
      </c>
      <c r="H1951" s="16" t="s">
        <v>75</v>
      </c>
      <c r="I1951" s="16" t="s">
        <v>76</v>
      </c>
      <c r="J1951" s="18" t="s">
        <v>77</v>
      </c>
      <c r="P1951" s="19"/>
    </row>
    <row r="1952">
      <c r="A1952" s="12" t="s">
        <v>78</v>
      </c>
      <c r="B1952" s="13">
        <v>1000000.0</v>
      </c>
      <c r="C1952" s="14"/>
      <c r="D1952" s="20" t="s">
        <v>72</v>
      </c>
      <c r="E1952" s="21">
        <f t="shared" ref="E1952:E1953" si="337">B1951</f>
        <v>1000000</v>
      </c>
      <c r="F1952" s="20" t="s">
        <v>79</v>
      </c>
      <c r="G1952" s="21">
        <f t="shared" ref="G1952:G1953" si="338">B1954</f>
        <v>4</v>
      </c>
      <c r="H1952" s="4">
        <f>G1952+(G1953/60)</f>
        <v>4.166666667</v>
      </c>
      <c r="I1952" s="21">
        <f>B1959</f>
        <v>6</v>
      </c>
      <c r="J1952" s="22" t="s">
        <v>80</v>
      </c>
      <c r="K1952" s="23">
        <f>B1961/B1962</f>
        <v>0</v>
      </c>
      <c r="P1952" s="19"/>
    </row>
    <row r="1953">
      <c r="A1953" s="12" t="s">
        <v>81</v>
      </c>
      <c r="B1953" s="14"/>
      <c r="C1953" s="14"/>
      <c r="D1953" s="20" t="s">
        <v>78</v>
      </c>
      <c r="E1953" s="21">
        <f t="shared" si="337"/>
        <v>1000000</v>
      </c>
      <c r="F1953" s="20" t="s">
        <v>82</v>
      </c>
      <c r="G1953" s="21">
        <f t="shared" si="338"/>
        <v>10</v>
      </c>
      <c r="J1953" s="22" t="s">
        <v>83</v>
      </c>
      <c r="K1953" s="23">
        <f>B1963/B1964</f>
        <v>0</v>
      </c>
      <c r="P1953" s="19"/>
    </row>
    <row r="1954">
      <c r="A1954" s="24" t="s">
        <v>79</v>
      </c>
      <c r="B1954" s="13">
        <v>4.0</v>
      </c>
      <c r="C1954" s="14"/>
      <c r="D1954" s="20" t="s">
        <v>84</v>
      </c>
      <c r="E1954" s="25">
        <f>E1952-E1953</f>
        <v>0</v>
      </c>
      <c r="F1954" s="26"/>
      <c r="G1954" s="16" t="s">
        <v>85</v>
      </c>
      <c r="H1954" s="16" t="s">
        <v>86</v>
      </c>
      <c r="I1954" s="16" t="s">
        <v>87</v>
      </c>
      <c r="J1954" s="22" t="s">
        <v>88</v>
      </c>
      <c r="K1954" s="23">
        <f>B1965/B1966</f>
        <v>0</v>
      </c>
      <c r="P1954" s="19"/>
    </row>
    <row r="1955">
      <c r="A1955" s="24" t="s">
        <v>89</v>
      </c>
      <c r="B1955" s="13">
        <v>10.0</v>
      </c>
      <c r="C1955" s="14"/>
      <c r="D1955" s="16" t="s">
        <v>90</v>
      </c>
      <c r="F1955" s="20" t="s">
        <v>79</v>
      </c>
      <c r="G1955" s="21">
        <f t="shared" ref="G1955:G1956" si="339">B1957</f>
        <v>4</v>
      </c>
      <c r="H1955" s="25">
        <f>G1955+(G1956/60)</f>
        <v>4.166666667</v>
      </c>
      <c r="I1955" s="25">
        <f>H1952-H1955</f>
        <v>0</v>
      </c>
      <c r="J1955" s="22" t="s">
        <v>91</v>
      </c>
      <c r="K1955" s="23">
        <f>B1967/B1968</f>
        <v>0</v>
      </c>
      <c r="P1955" s="19"/>
    </row>
    <row r="1956">
      <c r="A1956" s="12" t="s">
        <v>85</v>
      </c>
      <c r="B1956" s="27"/>
      <c r="C1956" s="14"/>
      <c r="D1956" s="28" t="s">
        <v>92</v>
      </c>
      <c r="E1956" s="25">
        <f>E1952/H1961</f>
        <v>218181.8182</v>
      </c>
      <c r="F1956" s="20" t="s">
        <v>82</v>
      </c>
      <c r="G1956" s="21">
        <f t="shared" si="339"/>
        <v>10</v>
      </c>
      <c r="J1956" s="22" t="s">
        <v>93</v>
      </c>
      <c r="K1956" s="23">
        <f>B1969/B1970</f>
        <v>0</v>
      </c>
      <c r="P1956" s="19"/>
    </row>
    <row r="1957">
      <c r="A1957" s="24" t="s">
        <v>79</v>
      </c>
      <c r="B1957" s="13">
        <v>4.0</v>
      </c>
      <c r="C1957" s="14"/>
      <c r="D1957" s="28" t="s">
        <v>94</v>
      </c>
      <c r="E1957" s="25">
        <f>E1952/I1952</f>
        <v>166666.6667</v>
      </c>
      <c r="J1957" s="22" t="s">
        <v>95</v>
      </c>
      <c r="K1957" s="23">
        <f>B1971/B1972</f>
        <v>0</v>
      </c>
      <c r="P1957" s="19"/>
    </row>
    <row r="1958">
      <c r="A1958" s="24" t="s">
        <v>89</v>
      </c>
      <c r="B1958" s="13">
        <v>10.0</v>
      </c>
      <c r="C1958" s="14"/>
      <c r="D1958" s="28" t="s">
        <v>96</v>
      </c>
      <c r="E1958" s="25">
        <f>E1956/I1952</f>
        <v>36363.63636</v>
      </c>
      <c r="J1958" s="29" t="s">
        <v>97</v>
      </c>
      <c r="K1958" s="30">
        <f>SUM(K1952:K1957)</f>
        <v>0</v>
      </c>
      <c r="P1958" s="19"/>
    </row>
    <row r="1959">
      <c r="A1959" s="12" t="s">
        <v>98</v>
      </c>
      <c r="B1959" s="13">
        <v>6.0</v>
      </c>
      <c r="C1959" s="14"/>
      <c r="D1959" s="28" t="s">
        <v>99</v>
      </c>
      <c r="E1959" s="31">
        <f>E1958/12</f>
        <v>3030.30303</v>
      </c>
      <c r="I1959" s="29"/>
      <c r="J1959" s="29" t="s">
        <v>100</v>
      </c>
      <c r="K1959" s="30">
        <f>H1969</f>
        <v>0</v>
      </c>
      <c r="P1959" s="19"/>
    </row>
    <row r="1960">
      <c r="A1960" s="32"/>
      <c r="B1960" s="14"/>
      <c r="C1960" s="14"/>
      <c r="D1960" s="28" t="s">
        <v>101</v>
      </c>
      <c r="E1960" s="25">
        <f>E1959*5</f>
        <v>15151.51515</v>
      </c>
      <c r="J1960" s="29" t="s">
        <v>102</v>
      </c>
      <c r="K1960" s="30">
        <f>E1961</f>
        <v>18181.81818</v>
      </c>
      <c r="P1960" s="19"/>
    </row>
    <row r="1961">
      <c r="A1961" s="33" t="s">
        <v>103</v>
      </c>
      <c r="B1961" s="34">
        <v>0.0</v>
      </c>
      <c r="C1961" s="14"/>
      <c r="D1961" s="28" t="s">
        <v>104</v>
      </c>
      <c r="E1961" s="25">
        <f>E1959*6</f>
        <v>18181.81818</v>
      </c>
      <c r="G1961" s="35" t="s">
        <v>105</v>
      </c>
      <c r="H1961" s="36">
        <f>H1952+(25/60)</f>
        <v>4.583333333</v>
      </c>
      <c r="J1961" s="29" t="s">
        <v>106</v>
      </c>
      <c r="K1961" s="30">
        <f>E1969</f>
        <v>20000</v>
      </c>
      <c r="P1961" s="19"/>
    </row>
    <row r="1962">
      <c r="A1962" s="37" t="s">
        <v>107</v>
      </c>
      <c r="B1962" s="38">
        <v>1.0</v>
      </c>
      <c r="C1962" s="14"/>
      <c r="G1962" s="35" t="s">
        <v>108</v>
      </c>
      <c r="H1962" s="36">
        <f>I1955+(25/60)</f>
        <v>0.4166666667</v>
      </c>
      <c r="I1962" s="39" t="s">
        <v>109</v>
      </c>
      <c r="P1962" s="19"/>
    </row>
    <row r="1963">
      <c r="A1963" s="40" t="s">
        <v>110</v>
      </c>
      <c r="B1963" s="13">
        <v>0.0</v>
      </c>
      <c r="C1963" s="14"/>
      <c r="D1963" s="16" t="s">
        <v>111</v>
      </c>
      <c r="G1963" s="16" t="s">
        <v>112</v>
      </c>
      <c r="H1963" s="36"/>
      <c r="I1963" s="39" t="s">
        <v>113</v>
      </c>
      <c r="P1963" s="19"/>
    </row>
    <row r="1964">
      <c r="A1964" s="37" t="s">
        <v>114</v>
      </c>
      <c r="B1964" s="38">
        <v>1.0</v>
      </c>
      <c r="C1964" s="14"/>
      <c r="D1964" s="28" t="s">
        <v>92</v>
      </c>
      <c r="E1964" s="25">
        <f>E1953/H1955</f>
        <v>240000</v>
      </c>
      <c r="G1964" s="28" t="s">
        <v>92</v>
      </c>
      <c r="H1964" s="36">
        <f>E1954/H1962</f>
        <v>0</v>
      </c>
      <c r="I1964" s="39" t="s">
        <v>115</v>
      </c>
      <c r="P1964" s="19"/>
    </row>
    <row r="1965">
      <c r="A1965" s="40" t="s">
        <v>116</v>
      </c>
      <c r="B1965" s="13">
        <v>0.0</v>
      </c>
      <c r="C1965" s="14"/>
      <c r="D1965" s="28" t="s">
        <v>94</v>
      </c>
      <c r="E1965" s="25">
        <f>E1953/I1952</f>
        <v>166666.6667</v>
      </c>
      <c r="G1965" s="28" t="s">
        <v>94</v>
      </c>
      <c r="H1965" s="36">
        <f>E1954/I1952</f>
        <v>0</v>
      </c>
      <c r="I1965" s="39" t="s">
        <v>117</v>
      </c>
      <c r="P1965" s="19"/>
    </row>
    <row r="1966">
      <c r="A1966" s="37" t="s">
        <v>118</v>
      </c>
      <c r="B1966" s="38">
        <v>1.0</v>
      </c>
      <c r="C1966" s="14"/>
      <c r="D1966" s="28" t="s">
        <v>96</v>
      </c>
      <c r="E1966" s="25">
        <f>E1965/H1955</f>
        <v>40000</v>
      </c>
      <c r="G1966" s="28" t="s">
        <v>96</v>
      </c>
      <c r="H1966" s="36">
        <f>H1965/H1962</f>
        <v>0</v>
      </c>
      <c r="P1966" s="19"/>
    </row>
    <row r="1967">
      <c r="A1967" s="40" t="s">
        <v>119</v>
      </c>
      <c r="B1967" s="13">
        <v>0.0</v>
      </c>
      <c r="C1967" s="14"/>
      <c r="D1967" s="28" t="s">
        <v>99</v>
      </c>
      <c r="E1967" s="25">
        <f>E1966/12</f>
        <v>3333.333333</v>
      </c>
      <c r="G1967" s="28" t="s">
        <v>99</v>
      </c>
      <c r="H1967" s="36">
        <f>H1966/12</f>
        <v>0</v>
      </c>
      <c r="P1967" s="19"/>
    </row>
    <row r="1968">
      <c r="A1968" s="37" t="s">
        <v>120</v>
      </c>
      <c r="B1968" s="38">
        <v>1.0</v>
      </c>
      <c r="C1968" s="14"/>
      <c r="D1968" s="28" t="s">
        <v>101</v>
      </c>
      <c r="E1968" s="25">
        <f>E1967*5</f>
        <v>16666.66667</v>
      </c>
      <c r="G1968" s="28" t="s">
        <v>101</v>
      </c>
      <c r="H1968" s="36">
        <f>H1967*5</f>
        <v>0</v>
      </c>
      <c r="P1968" s="19"/>
    </row>
    <row r="1969">
      <c r="A1969" s="40" t="s">
        <v>121</v>
      </c>
      <c r="B1969" s="13">
        <v>0.0</v>
      </c>
      <c r="C1969" s="14"/>
      <c r="D1969" s="28" t="s">
        <v>104</v>
      </c>
      <c r="E1969" s="25">
        <f>E1967*6</f>
        <v>20000</v>
      </c>
      <c r="G1969" s="28" t="s">
        <v>104</v>
      </c>
      <c r="H1969" s="36">
        <f>H1967*6</f>
        <v>0</v>
      </c>
      <c r="P1969" s="19"/>
    </row>
    <row r="1970">
      <c r="A1970" s="37" t="s">
        <v>122</v>
      </c>
      <c r="B1970" s="38">
        <v>1.0</v>
      </c>
      <c r="C1970" s="14"/>
      <c r="P1970" s="19"/>
    </row>
    <row r="1971">
      <c r="A1971" s="40" t="s">
        <v>123</v>
      </c>
      <c r="B1971" s="13">
        <v>0.0</v>
      </c>
      <c r="C1971" s="14"/>
      <c r="D1971" s="28" t="s">
        <v>124</v>
      </c>
      <c r="E1971" s="41"/>
      <c r="F1971" s="41"/>
      <c r="P1971" s="19"/>
    </row>
    <row r="1972">
      <c r="A1972" s="37" t="s">
        <v>125</v>
      </c>
      <c r="B1972" s="38">
        <v>1.0</v>
      </c>
      <c r="C1972" s="14"/>
      <c r="D1972" s="4" t="s">
        <v>126</v>
      </c>
      <c r="E1972" s="25">
        <f t="shared" ref="E1972:E1975" si="340">H1966-E1966</f>
        <v>-40000</v>
      </c>
      <c r="P1972" s="19"/>
    </row>
    <row r="1973">
      <c r="A1973" s="42" t="s">
        <v>127</v>
      </c>
      <c r="C1973" s="14"/>
      <c r="D1973" s="4" t="s">
        <v>128</v>
      </c>
      <c r="E1973" s="25">
        <f t="shared" si="340"/>
        <v>-3333.333333</v>
      </c>
      <c r="P1973" s="19"/>
    </row>
    <row r="1974">
      <c r="A1974" s="32"/>
      <c r="C1974" s="14"/>
      <c r="D1974" s="4" t="s">
        <v>129</v>
      </c>
      <c r="E1974" s="25">
        <f t="shared" si="340"/>
        <v>-16666.66667</v>
      </c>
      <c r="G1974" s="43"/>
      <c r="P1974" s="19"/>
    </row>
    <row r="1975">
      <c r="A1975" s="32"/>
      <c r="C1975" s="14"/>
      <c r="D1975" s="4" t="s">
        <v>130</v>
      </c>
      <c r="E1975" s="25">
        <f t="shared" si="340"/>
        <v>-20000</v>
      </c>
      <c r="P1975" s="19"/>
    </row>
    <row r="1976">
      <c r="A1976" s="24"/>
      <c r="C1976" s="14"/>
      <c r="D1976" s="28" t="s">
        <v>131</v>
      </c>
      <c r="P1976" s="19"/>
    </row>
    <row r="1977">
      <c r="A1977" s="32"/>
      <c r="C1977" s="14"/>
      <c r="D1977" s="4" t="s">
        <v>132</v>
      </c>
      <c r="E1977" s="25">
        <f t="shared" ref="E1977:E1980" si="341">H1966-E1958</f>
        <v>-36363.63636</v>
      </c>
      <c r="P1977" s="19"/>
    </row>
    <row r="1978">
      <c r="A1978" s="32"/>
      <c r="C1978" s="14"/>
      <c r="D1978" s="4" t="s">
        <v>133</v>
      </c>
      <c r="E1978" s="25">
        <f t="shared" si="341"/>
        <v>-3030.30303</v>
      </c>
      <c r="G1978" s="28" t="s">
        <v>134</v>
      </c>
      <c r="I1978" s="35" t="s">
        <v>135</v>
      </c>
      <c r="J1978" s="35" t="s">
        <v>82</v>
      </c>
      <c r="P1978" s="19"/>
    </row>
    <row r="1979">
      <c r="A1979" s="32"/>
      <c r="C1979" s="14"/>
      <c r="D1979" s="4" t="s">
        <v>136</v>
      </c>
      <c r="E1979" s="25">
        <f t="shared" si="341"/>
        <v>-15151.51515</v>
      </c>
      <c r="G1979" s="35" t="s">
        <v>137</v>
      </c>
      <c r="H1979" s="25" t="str">
        <f>(E1952/H1964)-(25/60)</f>
        <v>#DIV/0!</v>
      </c>
      <c r="I1979" s="25" t="str">
        <f t="shared" ref="I1979:I1980" si="342">INT(H1979)</f>
        <v>#DIV/0!</v>
      </c>
      <c r="J1979" s="36" t="str">
        <f t="shared" ref="J1979:J1980" si="343">INT((H1979-I1979)*60)</f>
        <v>#DIV/0!</v>
      </c>
      <c r="P1979" s="19"/>
    </row>
    <row r="1980">
      <c r="A1980" s="44"/>
      <c r="B1980" s="45"/>
      <c r="C1980" s="46"/>
      <c r="D1980" s="47" t="s">
        <v>138</v>
      </c>
      <c r="E1980" s="45">
        <f t="shared" si="341"/>
        <v>-18181.81818</v>
      </c>
      <c r="F1980" s="45"/>
      <c r="G1980" s="48" t="s">
        <v>139</v>
      </c>
      <c r="H1980" s="45" t="str">
        <f>H1952-H1979</f>
        <v>#DIV/0!</v>
      </c>
      <c r="I1980" s="45" t="str">
        <f t="shared" si="342"/>
        <v>#DIV/0!</v>
      </c>
      <c r="J1980" s="49" t="str">
        <f t="shared" si="343"/>
        <v>#DIV/0!</v>
      </c>
      <c r="K1980" s="45"/>
      <c r="L1980" s="45"/>
      <c r="M1980" s="45"/>
      <c r="N1980" s="45"/>
      <c r="O1980" s="45"/>
      <c r="P1980" s="50"/>
    </row>
    <row r="1981">
      <c r="A1981" s="51"/>
      <c r="B1981" s="51"/>
      <c r="D1981" s="51"/>
    </row>
    <row r="1982">
      <c r="D1982" s="51"/>
      <c r="I1982" s="51"/>
    </row>
    <row r="1983">
      <c r="D1983" s="51"/>
      <c r="I1983" s="51"/>
    </row>
    <row r="1984">
      <c r="A1984" s="51"/>
      <c r="D1984" s="51"/>
      <c r="G1984" s="51"/>
    </row>
    <row r="1985">
      <c r="A1985" s="51"/>
      <c r="G1985" s="51"/>
    </row>
    <row r="1986">
      <c r="A1986" s="51"/>
      <c r="D1986" s="51"/>
      <c r="G1986" s="51"/>
    </row>
    <row r="1987">
      <c r="A1987" s="51"/>
      <c r="D1987" s="51"/>
      <c r="G1987" s="51"/>
    </row>
    <row r="1988">
      <c r="A1988" s="51"/>
      <c r="D1988" s="51"/>
      <c r="G1988" s="51"/>
    </row>
    <row r="1989">
      <c r="A1989" s="51"/>
      <c r="D1989" s="51"/>
      <c r="G1989" s="51"/>
    </row>
    <row r="1990">
      <c r="A1990" s="6" t="s">
        <v>70</v>
      </c>
      <c r="B1990" s="52"/>
      <c r="C1990" s="8"/>
      <c r="D1990" s="9" t="s">
        <v>71</v>
      </c>
      <c r="E1990" s="10"/>
      <c r="F1990" s="10"/>
      <c r="G1990" s="10"/>
      <c r="H1990" s="10"/>
      <c r="I1990" s="10"/>
      <c r="J1990" s="10"/>
      <c r="K1990" s="9"/>
      <c r="L1990" s="10"/>
      <c r="M1990" s="10"/>
      <c r="N1990" s="10"/>
      <c r="O1990" s="10"/>
      <c r="P1990" s="11"/>
    </row>
    <row r="1991">
      <c r="A1991" s="12" t="s">
        <v>72</v>
      </c>
      <c r="B1991" s="13">
        <v>1000000.0</v>
      </c>
      <c r="C1991" s="14"/>
      <c r="D1991" s="53" t="str">
        <f>B1990</f>
        <v/>
      </c>
      <c r="E1991" s="16" t="s">
        <v>73</v>
      </c>
      <c r="F1991" s="17"/>
      <c r="G1991" s="16" t="s">
        <v>74</v>
      </c>
      <c r="H1991" s="16" t="s">
        <v>75</v>
      </c>
      <c r="I1991" s="16" t="s">
        <v>76</v>
      </c>
      <c r="J1991" s="18" t="s">
        <v>77</v>
      </c>
      <c r="P1991" s="19"/>
    </row>
    <row r="1992">
      <c r="A1992" s="12" t="s">
        <v>78</v>
      </c>
      <c r="B1992" s="13">
        <v>1000000.0</v>
      </c>
      <c r="C1992" s="14"/>
      <c r="D1992" s="20" t="s">
        <v>72</v>
      </c>
      <c r="E1992" s="21">
        <f t="shared" ref="E1992:E1993" si="344">B1991</f>
        <v>1000000</v>
      </c>
      <c r="F1992" s="20" t="s">
        <v>79</v>
      </c>
      <c r="G1992" s="21">
        <f t="shared" ref="G1992:G1993" si="345">B1994</f>
        <v>4</v>
      </c>
      <c r="H1992" s="4">
        <f>G1992+(G1993/60)</f>
        <v>4.166666667</v>
      </c>
      <c r="I1992" s="21">
        <f>B1999</f>
        <v>6</v>
      </c>
      <c r="J1992" s="22" t="s">
        <v>80</v>
      </c>
      <c r="K1992" s="23">
        <f>B2001/B2002</f>
        <v>0</v>
      </c>
      <c r="P1992" s="19"/>
    </row>
    <row r="1993">
      <c r="A1993" s="12" t="s">
        <v>81</v>
      </c>
      <c r="B1993" s="14"/>
      <c r="C1993" s="14"/>
      <c r="D1993" s="20" t="s">
        <v>78</v>
      </c>
      <c r="E1993" s="21">
        <f t="shared" si="344"/>
        <v>1000000</v>
      </c>
      <c r="F1993" s="20" t="s">
        <v>82</v>
      </c>
      <c r="G1993" s="21">
        <f t="shared" si="345"/>
        <v>10</v>
      </c>
      <c r="J1993" s="22" t="s">
        <v>83</v>
      </c>
      <c r="K1993" s="23">
        <f>B2003/B2004</f>
        <v>0</v>
      </c>
      <c r="P1993" s="19"/>
    </row>
    <row r="1994">
      <c r="A1994" s="24" t="s">
        <v>79</v>
      </c>
      <c r="B1994" s="13">
        <v>4.0</v>
      </c>
      <c r="C1994" s="14"/>
      <c r="D1994" s="20" t="s">
        <v>84</v>
      </c>
      <c r="E1994" s="25">
        <f>E1992-E1993</f>
        <v>0</v>
      </c>
      <c r="F1994" s="26"/>
      <c r="G1994" s="16" t="s">
        <v>85</v>
      </c>
      <c r="H1994" s="16" t="s">
        <v>86</v>
      </c>
      <c r="I1994" s="16" t="s">
        <v>87</v>
      </c>
      <c r="J1994" s="22" t="s">
        <v>88</v>
      </c>
      <c r="K1994" s="23">
        <f>B2005/B2006</f>
        <v>0</v>
      </c>
      <c r="P1994" s="19"/>
    </row>
    <row r="1995">
      <c r="A1995" s="24" t="s">
        <v>89</v>
      </c>
      <c r="B1995" s="13">
        <v>10.0</v>
      </c>
      <c r="C1995" s="14"/>
      <c r="D1995" s="16" t="s">
        <v>90</v>
      </c>
      <c r="F1995" s="20" t="s">
        <v>79</v>
      </c>
      <c r="G1995" s="21">
        <f t="shared" ref="G1995:G1996" si="346">B1997</f>
        <v>4</v>
      </c>
      <c r="H1995" s="25">
        <f>G1995+(G1996/60)</f>
        <v>4.166666667</v>
      </c>
      <c r="I1995" s="25">
        <f>H1992-H1995</f>
        <v>0</v>
      </c>
      <c r="J1995" s="22" t="s">
        <v>91</v>
      </c>
      <c r="K1995" s="23">
        <f>B2007/B2008</f>
        <v>0</v>
      </c>
      <c r="P1995" s="19"/>
    </row>
    <row r="1996">
      <c r="A1996" s="12" t="s">
        <v>85</v>
      </c>
      <c r="B1996" s="27"/>
      <c r="C1996" s="14"/>
      <c r="D1996" s="28" t="s">
        <v>92</v>
      </c>
      <c r="E1996" s="25">
        <f>E1992/H2001</f>
        <v>218181.8182</v>
      </c>
      <c r="F1996" s="20" t="s">
        <v>82</v>
      </c>
      <c r="G1996" s="21">
        <f t="shared" si="346"/>
        <v>10</v>
      </c>
      <c r="J1996" s="22" t="s">
        <v>93</v>
      </c>
      <c r="K1996" s="23">
        <f>B2009/B2010</f>
        <v>0</v>
      </c>
      <c r="P1996" s="19"/>
    </row>
    <row r="1997">
      <c r="A1997" s="24" t="s">
        <v>79</v>
      </c>
      <c r="B1997" s="13">
        <v>4.0</v>
      </c>
      <c r="C1997" s="14"/>
      <c r="D1997" s="28" t="s">
        <v>94</v>
      </c>
      <c r="E1997" s="25">
        <f>E1992/I1992</f>
        <v>166666.6667</v>
      </c>
      <c r="J1997" s="22" t="s">
        <v>95</v>
      </c>
      <c r="K1997" s="23">
        <f>B2011/B2012</f>
        <v>0</v>
      </c>
      <c r="P1997" s="19"/>
    </row>
    <row r="1998">
      <c r="A1998" s="24" t="s">
        <v>89</v>
      </c>
      <c r="B1998" s="13">
        <v>10.0</v>
      </c>
      <c r="C1998" s="14"/>
      <c r="D1998" s="28" t="s">
        <v>96</v>
      </c>
      <c r="E1998" s="25">
        <f>E1996/I1992</f>
        <v>36363.63636</v>
      </c>
      <c r="J1998" s="29" t="s">
        <v>97</v>
      </c>
      <c r="K1998" s="30">
        <f>SUM(K1992:K1997)</f>
        <v>0</v>
      </c>
      <c r="P1998" s="19"/>
    </row>
    <row r="1999">
      <c r="A1999" s="12" t="s">
        <v>98</v>
      </c>
      <c r="B1999" s="13">
        <v>6.0</v>
      </c>
      <c r="C1999" s="14"/>
      <c r="D1999" s="28" t="s">
        <v>99</v>
      </c>
      <c r="E1999" s="31">
        <f>E1998/12</f>
        <v>3030.30303</v>
      </c>
      <c r="I1999" s="29"/>
      <c r="J1999" s="29" t="s">
        <v>100</v>
      </c>
      <c r="K1999" s="30">
        <f>H2009</f>
        <v>0</v>
      </c>
      <c r="P1999" s="19"/>
    </row>
    <row r="2000">
      <c r="A2000" s="32"/>
      <c r="B2000" s="14"/>
      <c r="C2000" s="14"/>
      <c r="D2000" s="28" t="s">
        <v>101</v>
      </c>
      <c r="E2000" s="25">
        <f>E1999*5</f>
        <v>15151.51515</v>
      </c>
      <c r="J2000" s="29" t="s">
        <v>102</v>
      </c>
      <c r="K2000" s="30">
        <f>E2001</f>
        <v>18181.81818</v>
      </c>
      <c r="P2000" s="19"/>
    </row>
    <row r="2001">
      <c r="A2001" s="33" t="s">
        <v>103</v>
      </c>
      <c r="B2001" s="34">
        <v>0.0</v>
      </c>
      <c r="C2001" s="14"/>
      <c r="D2001" s="28" t="s">
        <v>104</v>
      </c>
      <c r="E2001" s="25">
        <f>E1999*6</f>
        <v>18181.81818</v>
      </c>
      <c r="G2001" s="35" t="s">
        <v>105</v>
      </c>
      <c r="H2001" s="36">
        <f>H1992+(25/60)</f>
        <v>4.583333333</v>
      </c>
      <c r="J2001" s="29" t="s">
        <v>106</v>
      </c>
      <c r="K2001" s="30">
        <f>E2009</f>
        <v>20000</v>
      </c>
      <c r="P2001" s="19"/>
    </row>
    <row r="2002">
      <c r="A2002" s="37" t="s">
        <v>107</v>
      </c>
      <c r="B2002" s="38">
        <v>1.0</v>
      </c>
      <c r="C2002" s="14"/>
      <c r="G2002" s="35" t="s">
        <v>108</v>
      </c>
      <c r="H2002" s="36">
        <f>I1995+(25/60)</f>
        <v>0.4166666667</v>
      </c>
      <c r="I2002" s="39" t="s">
        <v>109</v>
      </c>
      <c r="P2002" s="19"/>
    </row>
    <row r="2003">
      <c r="A2003" s="40" t="s">
        <v>110</v>
      </c>
      <c r="B2003" s="13">
        <v>0.0</v>
      </c>
      <c r="C2003" s="14"/>
      <c r="D2003" s="16" t="s">
        <v>111</v>
      </c>
      <c r="G2003" s="16" t="s">
        <v>112</v>
      </c>
      <c r="H2003" s="36"/>
      <c r="I2003" s="39" t="s">
        <v>113</v>
      </c>
      <c r="P2003" s="19"/>
    </row>
    <row r="2004">
      <c r="A2004" s="37" t="s">
        <v>114</v>
      </c>
      <c r="B2004" s="38">
        <v>1.0</v>
      </c>
      <c r="C2004" s="14"/>
      <c r="D2004" s="28" t="s">
        <v>92</v>
      </c>
      <c r="E2004" s="25">
        <f>E1993/H1995</f>
        <v>240000</v>
      </c>
      <c r="G2004" s="28" t="s">
        <v>92</v>
      </c>
      <c r="H2004" s="36">
        <f>E1994/H2002</f>
        <v>0</v>
      </c>
      <c r="I2004" s="39" t="s">
        <v>115</v>
      </c>
      <c r="P2004" s="19"/>
    </row>
    <row r="2005">
      <c r="A2005" s="40" t="s">
        <v>116</v>
      </c>
      <c r="B2005" s="13">
        <v>0.0</v>
      </c>
      <c r="C2005" s="14"/>
      <c r="D2005" s="28" t="s">
        <v>94</v>
      </c>
      <c r="E2005" s="25">
        <f>E1993/I1992</f>
        <v>166666.6667</v>
      </c>
      <c r="G2005" s="28" t="s">
        <v>94</v>
      </c>
      <c r="H2005" s="36">
        <f>E1994/I1992</f>
        <v>0</v>
      </c>
      <c r="I2005" s="39" t="s">
        <v>117</v>
      </c>
      <c r="P2005" s="19"/>
    </row>
    <row r="2006">
      <c r="A2006" s="37" t="s">
        <v>118</v>
      </c>
      <c r="B2006" s="38">
        <v>1.0</v>
      </c>
      <c r="C2006" s="14"/>
      <c r="D2006" s="28" t="s">
        <v>96</v>
      </c>
      <c r="E2006" s="25">
        <f>E2005/H1995</f>
        <v>40000</v>
      </c>
      <c r="G2006" s="28" t="s">
        <v>96</v>
      </c>
      <c r="H2006" s="36">
        <f>H2005/H2002</f>
        <v>0</v>
      </c>
      <c r="P2006" s="19"/>
    </row>
    <row r="2007">
      <c r="A2007" s="40" t="s">
        <v>119</v>
      </c>
      <c r="B2007" s="13">
        <v>0.0</v>
      </c>
      <c r="C2007" s="14"/>
      <c r="D2007" s="28" t="s">
        <v>99</v>
      </c>
      <c r="E2007" s="25">
        <f>E2006/12</f>
        <v>3333.333333</v>
      </c>
      <c r="G2007" s="28" t="s">
        <v>99</v>
      </c>
      <c r="H2007" s="36">
        <f>H2006/12</f>
        <v>0</v>
      </c>
      <c r="P2007" s="19"/>
    </row>
    <row r="2008">
      <c r="A2008" s="37" t="s">
        <v>120</v>
      </c>
      <c r="B2008" s="38">
        <v>1.0</v>
      </c>
      <c r="C2008" s="14"/>
      <c r="D2008" s="28" t="s">
        <v>101</v>
      </c>
      <c r="E2008" s="25">
        <f>E2007*5</f>
        <v>16666.66667</v>
      </c>
      <c r="G2008" s="28" t="s">
        <v>101</v>
      </c>
      <c r="H2008" s="36">
        <f>H2007*5</f>
        <v>0</v>
      </c>
      <c r="P2008" s="19"/>
    </row>
    <row r="2009">
      <c r="A2009" s="40" t="s">
        <v>121</v>
      </c>
      <c r="B2009" s="13">
        <v>0.0</v>
      </c>
      <c r="C2009" s="14"/>
      <c r="D2009" s="28" t="s">
        <v>104</v>
      </c>
      <c r="E2009" s="25">
        <f>E2007*6</f>
        <v>20000</v>
      </c>
      <c r="G2009" s="28" t="s">
        <v>104</v>
      </c>
      <c r="H2009" s="36">
        <f>H2007*6</f>
        <v>0</v>
      </c>
      <c r="P2009" s="19"/>
    </row>
    <row r="2010">
      <c r="A2010" s="37" t="s">
        <v>122</v>
      </c>
      <c r="B2010" s="38">
        <v>1.0</v>
      </c>
      <c r="C2010" s="14"/>
      <c r="P2010" s="19"/>
    </row>
    <row r="2011">
      <c r="A2011" s="40" t="s">
        <v>123</v>
      </c>
      <c r="B2011" s="13">
        <v>0.0</v>
      </c>
      <c r="C2011" s="14"/>
      <c r="D2011" s="28" t="s">
        <v>124</v>
      </c>
      <c r="E2011" s="41"/>
      <c r="F2011" s="41"/>
      <c r="P2011" s="19"/>
    </row>
    <row r="2012">
      <c r="A2012" s="37" t="s">
        <v>125</v>
      </c>
      <c r="B2012" s="38">
        <v>1.0</v>
      </c>
      <c r="C2012" s="14"/>
      <c r="D2012" s="4" t="s">
        <v>126</v>
      </c>
      <c r="E2012" s="25">
        <f t="shared" ref="E2012:E2015" si="347">H2006-E2006</f>
        <v>-40000</v>
      </c>
      <c r="P2012" s="19"/>
    </row>
    <row r="2013">
      <c r="A2013" s="42" t="s">
        <v>127</v>
      </c>
      <c r="C2013" s="14"/>
      <c r="D2013" s="4" t="s">
        <v>128</v>
      </c>
      <c r="E2013" s="25">
        <f t="shared" si="347"/>
        <v>-3333.333333</v>
      </c>
      <c r="P2013" s="19"/>
    </row>
    <row r="2014">
      <c r="A2014" s="32"/>
      <c r="C2014" s="14"/>
      <c r="D2014" s="4" t="s">
        <v>129</v>
      </c>
      <c r="E2014" s="25">
        <f t="shared" si="347"/>
        <v>-16666.66667</v>
      </c>
      <c r="G2014" s="43"/>
      <c r="P2014" s="19"/>
    </row>
    <row r="2015">
      <c r="A2015" s="32"/>
      <c r="C2015" s="14"/>
      <c r="D2015" s="4" t="s">
        <v>130</v>
      </c>
      <c r="E2015" s="25">
        <f t="shared" si="347"/>
        <v>-20000</v>
      </c>
      <c r="P2015" s="19"/>
    </row>
    <row r="2016">
      <c r="A2016" s="24"/>
      <c r="C2016" s="14"/>
      <c r="D2016" s="28" t="s">
        <v>131</v>
      </c>
      <c r="P2016" s="19"/>
    </row>
    <row r="2017">
      <c r="A2017" s="32"/>
      <c r="C2017" s="14"/>
      <c r="D2017" s="4" t="s">
        <v>132</v>
      </c>
      <c r="E2017" s="25">
        <f t="shared" ref="E2017:E2020" si="348">H2006-E1998</f>
        <v>-36363.63636</v>
      </c>
      <c r="P2017" s="19"/>
    </row>
    <row r="2018">
      <c r="A2018" s="32"/>
      <c r="C2018" s="14"/>
      <c r="D2018" s="4" t="s">
        <v>133</v>
      </c>
      <c r="E2018" s="25">
        <f t="shared" si="348"/>
        <v>-3030.30303</v>
      </c>
      <c r="G2018" s="28" t="s">
        <v>134</v>
      </c>
      <c r="I2018" s="35" t="s">
        <v>135</v>
      </c>
      <c r="J2018" s="35" t="s">
        <v>82</v>
      </c>
      <c r="P2018" s="19"/>
    </row>
    <row r="2019">
      <c r="A2019" s="32"/>
      <c r="C2019" s="14"/>
      <c r="D2019" s="4" t="s">
        <v>136</v>
      </c>
      <c r="E2019" s="25">
        <f t="shared" si="348"/>
        <v>-15151.51515</v>
      </c>
      <c r="G2019" s="35" t="s">
        <v>137</v>
      </c>
      <c r="H2019" s="25" t="str">
        <f>(E1992/H2004)-(25/60)</f>
        <v>#DIV/0!</v>
      </c>
      <c r="I2019" s="25" t="str">
        <f t="shared" ref="I2019:I2020" si="349">INT(H2019)</f>
        <v>#DIV/0!</v>
      </c>
      <c r="J2019" s="36" t="str">
        <f t="shared" ref="J2019:J2020" si="350">INT((H2019-I2019)*60)</f>
        <v>#DIV/0!</v>
      </c>
      <c r="P2019" s="19"/>
    </row>
    <row r="2020">
      <c r="A2020" s="44"/>
      <c r="B2020" s="45"/>
      <c r="C2020" s="46"/>
      <c r="D2020" s="47" t="s">
        <v>138</v>
      </c>
      <c r="E2020" s="45">
        <f t="shared" si="348"/>
        <v>-18181.81818</v>
      </c>
      <c r="F2020" s="45"/>
      <c r="G2020" s="48" t="s">
        <v>139</v>
      </c>
      <c r="H2020" s="45" t="str">
        <f>H1992-H2019</f>
        <v>#DIV/0!</v>
      </c>
      <c r="I2020" s="45" t="str">
        <f t="shared" si="349"/>
        <v>#DIV/0!</v>
      </c>
      <c r="J2020" s="49" t="str">
        <f t="shared" si="350"/>
        <v>#DIV/0!</v>
      </c>
      <c r="K2020" s="45"/>
      <c r="L2020" s="45"/>
      <c r="M2020" s="45"/>
      <c r="N2020" s="45"/>
      <c r="O2020" s="45"/>
      <c r="P2020" s="50"/>
    </row>
    <row r="2021">
      <c r="A2021" s="51"/>
      <c r="D2021" s="51"/>
      <c r="G2021" s="51"/>
    </row>
    <row r="2022">
      <c r="A2022" s="51"/>
    </row>
    <row r="2023">
      <c r="A2023" s="51"/>
      <c r="D2023" s="51"/>
    </row>
    <row r="2024">
      <c r="A2024" s="51"/>
    </row>
    <row r="2025">
      <c r="A2025" s="51"/>
      <c r="G2025" s="51"/>
    </row>
    <row r="2027">
      <c r="D2027" s="51"/>
    </row>
    <row r="2030">
      <c r="A2030" s="6" t="s">
        <v>70</v>
      </c>
      <c r="B2030" s="52"/>
      <c r="C2030" s="8"/>
      <c r="D2030" s="9" t="s">
        <v>71</v>
      </c>
      <c r="E2030" s="10"/>
      <c r="F2030" s="10"/>
      <c r="G2030" s="10"/>
      <c r="H2030" s="10"/>
      <c r="I2030" s="10"/>
      <c r="J2030" s="10"/>
      <c r="K2030" s="9"/>
      <c r="L2030" s="10"/>
      <c r="M2030" s="10"/>
      <c r="N2030" s="10"/>
      <c r="O2030" s="10"/>
      <c r="P2030" s="11"/>
    </row>
    <row r="2031">
      <c r="A2031" s="12" t="s">
        <v>72</v>
      </c>
      <c r="B2031" s="13">
        <v>1000000.0</v>
      </c>
      <c r="C2031" s="14"/>
      <c r="D2031" s="53" t="str">
        <f>B2030</f>
        <v/>
      </c>
      <c r="E2031" s="16" t="s">
        <v>73</v>
      </c>
      <c r="F2031" s="17"/>
      <c r="G2031" s="16" t="s">
        <v>74</v>
      </c>
      <c r="H2031" s="16" t="s">
        <v>75</v>
      </c>
      <c r="I2031" s="16" t="s">
        <v>76</v>
      </c>
      <c r="J2031" s="18" t="s">
        <v>77</v>
      </c>
      <c r="P2031" s="19"/>
    </row>
    <row r="2032">
      <c r="A2032" s="12" t="s">
        <v>78</v>
      </c>
      <c r="B2032" s="13">
        <v>1000000.0</v>
      </c>
      <c r="C2032" s="14"/>
      <c r="D2032" s="20" t="s">
        <v>72</v>
      </c>
      <c r="E2032" s="21">
        <f t="shared" ref="E2032:E2033" si="351">B2031</f>
        <v>1000000</v>
      </c>
      <c r="F2032" s="20" t="s">
        <v>79</v>
      </c>
      <c r="G2032" s="21">
        <f t="shared" ref="G2032:G2033" si="352">B2034</f>
        <v>4</v>
      </c>
      <c r="H2032" s="4">
        <f>G2032+(G2033/60)</f>
        <v>4.166666667</v>
      </c>
      <c r="I2032" s="21">
        <f>B2039</f>
        <v>6</v>
      </c>
      <c r="J2032" s="22" t="s">
        <v>80</v>
      </c>
      <c r="K2032" s="23">
        <f>B2041/B2042</f>
        <v>0</v>
      </c>
      <c r="P2032" s="19"/>
    </row>
    <row r="2033">
      <c r="A2033" s="12" t="s">
        <v>81</v>
      </c>
      <c r="B2033" s="14"/>
      <c r="C2033" s="14"/>
      <c r="D2033" s="20" t="s">
        <v>78</v>
      </c>
      <c r="E2033" s="21">
        <f t="shared" si="351"/>
        <v>1000000</v>
      </c>
      <c r="F2033" s="20" t="s">
        <v>82</v>
      </c>
      <c r="G2033" s="21">
        <f t="shared" si="352"/>
        <v>10</v>
      </c>
      <c r="J2033" s="22" t="s">
        <v>83</v>
      </c>
      <c r="K2033" s="23">
        <f>B2043/B2044</f>
        <v>0</v>
      </c>
      <c r="P2033" s="19"/>
    </row>
    <row r="2034">
      <c r="A2034" s="24" t="s">
        <v>79</v>
      </c>
      <c r="B2034" s="13">
        <v>4.0</v>
      </c>
      <c r="C2034" s="14"/>
      <c r="D2034" s="20" t="s">
        <v>84</v>
      </c>
      <c r="E2034" s="25">
        <f>E2032-E2033</f>
        <v>0</v>
      </c>
      <c r="F2034" s="26"/>
      <c r="G2034" s="16" t="s">
        <v>85</v>
      </c>
      <c r="H2034" s="16" t="s">
        <v>86</v>
      </c>
      <c r="I2034" s="16" t="s">
        <v>87</v>
      </c>
      <c r="J2034" s="22" t="s">
        <v>88</v>
      </c>
      <c r="K2034" s="23">
        <f>B2045/B2046</f>
        <v>0</v>
      </c>
      <c r="P2034" s="19"/>
    </row>
    <row r="2035">
      <c r="A2035" s="24" t="s">
        <v>89</v>
      </c>
      <c r="B2035" s="13">
        <v>10.0</v>
      </c>
      <c r="C2035" s="14"/>
      <c r="D2035" s="16" t="s">
        <v>90</v>
      </c>
      <c r="F2035" s="20" t="s">
        <v>79</v>
      </c>
      <c r="G2035" s="21">
        <f t="shared" ref="G2035:G2036" si="353">B2037</f>
        <v>4</v>
      </c>
      <c r="H2035" s="25">
        <f>G2035+(G2036/60)</f>
        <v>4.166666667</v>
      </c>
      <c r="I2035" s="25">
        <f>H2032-H2035</f>
        <v>0</v>
      </c>
      <c r="J2035" s="22" t="s">
        <v>91</v>
      </c>
      <c r="K2035" s="23">
        <f>B2047/B2048</f>
        <v>0</v>
      </c>
      <c r="P2035" s="19"/>
    </row>
    <row r="2036">
      <c r="A2036" s="12" t="s">
        <v>85</v>
      </c>
      <c r="B2036" s="27"/>
      <c r="C2036" s="14"/>
      <c r="D2036" s="28" t="s">
        <v>92</v>
      </c>
      <c r="E2036" s="25">
        <f>E2032/H2041</f>
        <v>218181.8182</v>
      </c>
      <c r="F2036" s="20" t="s">
        <v>82</v>
      </c>
      <c r="G2036" s="21">
        <f t="shared" si="353"/>
        <v>10</v>
      </c>
      <c r="J2036" s="22" t="s">
        <v>93</v>
      </c>
      <c r="K2036" s="23">
        <f>B2049/B2050</f>
        <v>0</v>
      </c>
      <c r="P2036" s="19"/>
    </row>
    <row r="2037">
      <c r="A2037" s="24" t="s">
        <v>79</v>
      </c>
      <c r="B2037" s="13">
        <v>4.0</v>
      </c>
      <c r="C2037" s="14"/>
      <c r="D2037" s="28" t="s">
        <v>94</v>
      </c>
      <c r="E2037" s="25">
        <f>E2032/I2032</f>
        <v>166666.6667</v>
      </c>
      <c r="J2037" s="22" t="s">
        <v>95</v>
      </c>
      <c r="K2037" s="23">
        <f>B2051/B2052</f>
        <v>0</v>
      </c>
      <c r="P2037" s="19"/>
    </row>
    <row r="2038">
      <c r="A2038" s="24" t="s">
        <v>89</v>
      </c>
      <c r="B2038" s="13">
        <v>10.0</v>
      </c>
      <c r="C2038" s="14"/>
      <c r="D2038" s="28" t="s">
        <v>96</v>
      </c>
      <c r="E2038" s="25">
        <f>E2036/I2032</f>
        <v>36363.63636</v>
      </c>
      <c r="J2038" s="29" t="s">
        <v>97</v>
      </c>
      <c r="K2038" s="30">
        <f>SUM(K2032:K2037)</f>
        <v>0</v>
      </c>
      <c r="P2038" s="19"/>
    </row>
    <row r="2039">
      <c r="A2039" s="12" t="s">
        <v>98</v>
      </c>
      <c r="B2039" s="13">
        <v>6.0</v>
      </c>
      <c r="C2039" s="14"/>
      <c r="D2039" s="28" t="s">
        <v>99</v>
      </c>
      <c r="E2039" s="31">
        <f>E2038/12</f>
        <v>3030.30303</v>
      </c>
      <c r="I2039" s="29"/>
      <c r="J2039" s="29" t="s">
        <v>100</v>
      </c>
      <c r="K2039" s="30">
        <f>H2049</f>
        <v>0</v>
      </c>
      <c r="P2039" s="19"/>
    </row>
    <row r="2040">
      <c r="A2040" s="32"/>
      <c r="B2040" s="14"/>
      <c r="C2040" s="14"/>
      <c r="D2040" s="28" t="s">
        <v>101</v>
      </c>
      <c r="E2040" s="25">
        <f>E2039*5</f>
        <v>15151.51515</v>
      </c>
      <c r="J2040" s="29" t="s">
        <v>102</v>
      </c>
      <c r="K2040" s="30">
        <f>E2041</f>
        <v>18181.81818</v>
      </c>
      <c r="P2040" s="19"/>
    </row>
    <row r="2041">
      <c r="A2041" s="33" t="s">
        <v>103</v>
      </c>
      <c r="B2041" s="34">
        <v>0.0</v>
      </c>
      <c r="C2041" s="14"/>
      <c r="D2041" s="28" t="s">
        <v>104</v>
      </c>
      <c r="E2041" s="25">
        <f>E2039*6</f>
        <v>18181.81818</v>
      </c>
      <c r="G2041" s="35" t="s">
        <v>105</v>
      </c>
      <c r="H2041" s="36">
        <f>H2032+(25/60)</f>
        <v>4.583333333</v>
      </c>
      <c r="J2041" s="29" t="s">
        <v>106</v>
      </c>
      <c r="K2041" s="30">
        <f>E2049</f>
        <v>20000</v>
      </c>
      <c r="P2041" s="19"/>
    </row>
    <row r="2042">
      <c r="A2042" s="37" t="s">
        <v>107</v>
      </c>
      <c r="B2042" s="38">
        <v>1.0</v>
      </c>
      <c r="C2042" s="14"/>
      <c r="G2042" s="35" t="s">
        <v>108</v>
      </c>
      <c r="H2042" s="36">
        <f>I2035+(25/60)</f>
        <v>0.4166666667</v>
      </c>
      <c r="I2042" s="39" t="s">
        <v>109</v>
      </c>
      <c r="P2042" s="19"/>
    </row>
    <row r="2043">
      <c r="A2043" s="40" t="s">
        <v>110</v>
      </c>
      <c r="B2043" s="13">
        <v>0.0</v>
      </c>
      <c r="C2043" s="14"/>
      <c r="D2043" s="16" t="s">
        <v>111</v>
      </c>
      <c r="G2043" s="16" t="s">
        <v>112</v>
      </c>
      <c r="H2043" s="36"/>
      <c r="I2043" s="39" t="s">
        <v>113</v>
      </c>
      <c r="P2043" s="19"/>
    </row>
    <row r="2044">
      <c r="A2044" s="37" t="s">
        <v>114</v>
      </c>
      <c r="B2044" s="38">
        <v>1.0</v>
      </c>
      <c r="C2044" s="14"/>
      <c r="D2044" s="28" t="s">
        <v>92</v>
      </c>
      <c r="E2044" s="25">
        <f>E2033/H2035</f>
        <v>240000</v>
      </c>
      <c r="G2044" s="28" t="s">
        <v>92</v>
      </c>
      <c r="H2044" s="36">
        <f>E2034/H2042</f>
        <v>0</v>
      </c>
      <c r="I2044" s="39" t="s">
        <v>115</v>
      </c>
      <c r="P2044" s="19"/>
    </row>
    <row r="2045">
      <c r="A2045" s="40" t="s">
        <v>116</v>
      </c>
      <c r="B2045" s="13">
        <v>0.0</v>
      </c>
      <c r="C2045" s="14"/>
      <c r="D2045" s="28" t="s">
        <v>94</v>
      </c>
      <c r="E2045" s="25">
        <f>E2033/I2032</f>
        <v>166666.6667</v>
      </c>
      <c r="G2045" s="28" t="s">
        <v>94</v>
      </c>
      <c r="H2045" s="36">
        <f>E2034/I2032</f>
        <v>0</v>
      </c>
      <c r="I2045" s="39" t="s">
        <v>117</v>
      </c>
      <c r="P2045" s="19"/>
    </row>
    <row r="2046">
      <c r="A2046" s="37" t="s">
        <v>118</v>
      </c>
      <c r="B2046" s="38">
        <v>1.0</v>
      </c>
      <c r="C2046" s="14"/>
      <c r="D2046" s="28" t="s">
        <v>96</v>
      </c>
      <c r="E2046" s="25">
        <f>E2045/H2035</f>
        <v>40000</v>
      </c>
      <c r="G2046" s="28" t="s">
        <v>96</v>
      </c>
      <c r="H2046" s="36">
        <f>H2045/H2042</f>
        <v>0</v>
      </c>
      <c r="P2046" s="19"/>
    </row>
    <row r="2047">
      <c r="A2047" s="40" t="s">
        <v>119</v>
      </c>
      <c r="B2047" s="13">
        <v>0.0</v>
      </c>
      <c r="C2047" s="14"/>
      <c r="D2047" s="28" t="s">
        <v>99</v>
      </c>
      <c r="E2047" s="25">
        <f>E2046/12</f>
        <v>3333.333333</v>
      </c>
      <c r="G2047" s="28" t="s">
        <v>99</v>
      </c>
      <c r="H2047" s="36">
        <f>H2046/12</f>
        <v>0</v>
      </c>
      <c r="P2047" s="19"/>
    </row>
    <row r="2048">
      <c r="A2048" s="37" t="s">
        <v>120</v>
      </c>
      <c r="B2048" s="38">
        <v>1.0</v>
      </c>
      <c r="C2048" s="14"/>
      <c r="D2048" s="28" t="s">
        <v>101</v>
      </c>
      <c r="E2048" s="25">
        <f>E2047*5</f>
        <v>16666.66667</v>
      </c>
      <c r="G2048" s="28" t="s">
        <v>101</v>
      </c>
      <c r="H2048" s="36">
        <f>H2047*5</f>
        <v>0</v>
      </c>
      <c r="P2048" s="19"/>
    </row>
    <row r="2049">
      <c r="A2049" s="40" t="s">
        <v>121</v>
      </c>
      <c r="B2049" s="13">
        <v>0.0</v>
      </c>
      <c r="C2049" s="14"/>
      <c r="D2049" s="28" t="s">
        <v>104</v>
      </c>
      <c r="E2049" s="25">
        <f>E2047*6</f>
        <v>20000</v>
      </c>
      <c r="G2049" s="28" t="s">
        <v>104</v>
      </c>
      <c r="H2049" s="36">
        <f>H2047*6</f>
        <v>0</v>
      </c>
      <c r="P2049" s="19"/>
    </row>
    <row r="2050">
      <c r="A2050" s="37" t="s">
        <v>122</v>
      </c>
      <c r="B2050" s="38">
        <v>1.0</v>
      </c>
      <c r="C2050" s="14"/>
      <c r="P2050" s="19"/>
    </row>
    <row r="2051">
      <c r="A2051" s="40" t="s">
        <v>123</v>
      </c>
      <c r="B2051" s="13">
        <v>0.0</v>
      </c>
      <c r="C2051" s="14"/>
      <c r="D2051" s="28" t="s">
        <v>124</v>
      </c>
      <c r="E2051" s="41"/>
      <c r="F2051" s="41"/>
      <c r="P2051" s="19"/>
    </row>
    <row r="2052">
      <c r="A2052" s="37" t="s">
        <v>125</v>
      </c>
      <c r="B2052" s="38">
        <v>1.0</v>
      </c>
      <c r="C2052" s="14"/>
      <c r="D2052" s="4" t="s">
        <v>126</v>
      </c>
      <c r="E2052" s="25">
        <f t="shared" ref="E2052:E2055" si="354">H2046-E2046</f>
        <v>-40000</v>
      </c>
      <c r="P2052" s="19"/>
    </row>
    <row r="2053">
      <c r="A2053" s="42" t="s">
        <v>127</v>
      </c>
      <c r="C2053" s="14"/>
      <c r="D2053" s="4" t="s">
        <v>128</v>
      </c>
      <c r="E2053" s="25">
        <f t="shared" si="354"/>
        <v>-3333.333333</v>
      </c>
      <c r="P2053" s="19"/>
    </row>
    <row r="2054">
      <c r="A2054" s="32"/>
      <c r="C2054" s="14"/>
      <c r="D2054" s="4" t="s">
        <v>129</v>
      </c>
      <c r="E2054" s="25">
        <f t="shared" si="354"/>
        <v>-16666.66667</v>
      </c>
      <c r="G2054" s="43"/>
      <c r="P2054" s="19"/>
    </row>
    <row r="2055">
      <c r="A2055" s="32"/>
      <c r="C2055" s="14"/>
      <c r="D2055" s="4" t="s">
        <v>130</v>
      </c>
      <c r="E2055" s="25">
        <f t="shared" si="354"/>
        <v>-20000</v>
      </c>
      <c r="P2055" s="19"/>
    </row>
    <row r="2056">
      <c r="A2056" s="24"/>
      <c r="C2056" s="14"/>
      <c r="D2056" s="28" t="s">
        <v>131</v>
      </c>
      <c r="P2056" s="19"/>
    </row>
    <row r="2057">
      <c r="A2057" s="32"/>
      <c r="C2057" s="14"/>
      <c r="D2057" s="4" t="s">
        <v>132</v>
      </c>
      <c r="E2057" s="25">
        <f t="shared" ref="E2057:E2060" si="355">H2046-E2038</f>
        <v>-36363.63636</v>
      </c>
      <c r="P2057" s="19"/>
    </row>
    <row r="2058">
      <c r="A2058" s="32"/>
      <c r="C2058" s="14"/>
      <c r="D2058" s="4" t="s">
        <v>133</v>
      </c>
      <c r="E2058" s="25">
        <f t="shared" si="355"/>
        <v>-3030.30303</v>
      </c>
      <c r="G2058" s="28" t="s">
        <v>134</v>
      </c>
      <c r="I2058" s="35" t="s">
        <v>135</v>
      </c>
      <c r="J2058" s="35" t="s">
        <v>82</v>
      </c>
      <c r="P2058" s="19"/>
    </row>
    <row r="2059">
      <c r="A2059" s="32"/>
      <c r="C2059" s="14"/>
      <c r="D2059" s="4" t="s">
        <v>136</v>
      </c>
      <c r="E2059" s="25">
        <f t="shared" si="355"/>
        <v>-15151.51515</v>
      </c>
      <c r="G2059" s="35" t="s">
        <v>137</v>
      </c>
      <c r="H2059" s="25" t="str">
        <f>(E2032/H2044)-(25/60)</f>
        <v>#DIV/0!</v>
      </c>
      <c r="I2059" s="25" t="str">
        <f t="shared" ref="I2059:I2060" si="356">INT(H2059)</f>
        <v>#DIV/0!</v>
      </c>
      <c r="J2059" s="36" t="str">
        <f t="shared" ref="J2059:J2060" si="357">INT((H2059-I2059)*60)</f>
        <v>#DIV/0!</v>
      </c>
      <c r="P2059" s="19"/>
    </row>
    <row r="2060">
      <c r="A2060" s="44"/>
      <c r="B2060" s="45"/>
      <c r="C2060" s="46"/>
      <c r="D2060" s="47" t="s">
        <v>138</v>
      </c>
      <c r="E2060" s="45">
        <f t="shared" si="355"/>
        <v>-18181.81818</v>
      </c>
      <c r="F2060" s="45"/>
      <c r="G2060" s="48" t="s">
        <v>139</v>
      </c>
      <c r="H2060" s="45" t="str">
        <f>H2032-H2059</f>
        <v>#DIV/0!</v>
      </c>
      <c r="I2060" s="45" t="str">
        <f t="shared" si="356"/>
        <v>#DIV/0!</v>
      </c>
      <c r="J2060" s="49" t="str">
        <f t="shared" si="357"/>
        <v>#DIV/0!</v>
      </c>
      <c r="K2060" s="45"/>
      <c r="L2060" s="45"/>
      <c r="M2060" s="45"/>
      <c r="N2060" s="45"/>
      <c r="O2060" s="45"/>
      <c r="P2060" s="50"/>
    </row>
    <row r="2061">
      <c r="A2061" s="51"/>
      <c r="B2061" s="51"/>
      <c r="D2061" s="51"/>
    </row>
    <row r="2062">
      <c r="D2062" s="51"/>
      <c r="I2062" s="51"/>
    </row>
    <row r="2063">
      <c r="D2063" s="51"/>
      <c r="I2063" s="51"/>
    </row>
    <row r="2064">
      <c r="A2064" s="51"/>
      <c r="D2064" s="51"/>
      <c r="G2064" s="51"/>
    </row>
    <row r="2065">
      <c r="A2065" s="51"/>
      <c r="G2065" s="51"/>
    </row>
    <row r="2066">
      <c r="A2066" s="51"/>
      <c r="D2066" s="51"/>
      <c r="G2066" s="51"/>
    </row>
    <row r="2067">
      <c r="A2067" s="51"/>
      <c r="D2067" s="51"/>
      <c r="G2067" s="51"/>
    </row>
    <row r="2068">
      <c r="A2068" s="51"/>
      <c r="D2068" s="51"/>
      <c r="G2068" s="51"/>
    </row>
    <row r="2069">
      <c r="A2069" s="51"/>
      <c r="D2069" s="51"/>
      <c r="G2069" s="51"/>
    </row>
    <row r="2070">
      <c r="A2070" s="6" t="s">
        <v>70</v>
      </c>
      <c r="B2070" s="52"/>
      <c r="C2070" s="8"/>
      <c r="D2070" s="9" t="s">
        <v>71</v>
      </c>
      <c r="E2070" s="10"/>
      <c r="F2070" s="10"/>
      <c r="G2070" s="10"/>
      <c r="H2070" s="10"/>
      <c r="I2070" s="10"/>
      <c r="J2070" s="10"/>
      <c r="K2070" s="9"/>
      <c r="L2070" s="10"/>
      <c r="M2070" s="10"/>
      <c r="N2070" s="10"/>
      <c r="O2070" s="10"/>
      <c r="P2070" s="11"/>
    </row>
    <row r="2071">
      <c r="A2071" s="12" t="s">
        <v>72</v>
      </c>
      <c r="B2071" s="13">
        <v>1000000.0</v>
      </c>
      <c r="C2071" s="14"/>
      <c r="D2071" s="53" t="str">
        <f>B2070</f>
        <v/>
      </c>
      <c r="E2071" s="16" t="s">
        <v>73</v>
      </c>
      <c r="F2071" s="17"/>
      <c r="G2071" s="16" t="s">
        <v>74</v>
      </c>
      <c r="H2071" s="16" t="s">
        <v>75</v>
      </c>
      <c r="I2071" s="16" t="s">
        <v>76</v>
      </c>
      <c r="J2071" s="18" t="s">
        <v>77</v>
      </c>
      <c r="P2071" s="19"/>
    </row>
    <row r="2072">
      <c r="A2072" s="12" t="s">
        <v>78</v>
      </c>
      <c r="B2072" s="13">
        <v>1000000.0</v>
      </c>
      <c r="C2072" s="14"/>
      <c r="D2072" s="20" t="s">
        <v>72</v>
      </c>
      <c r="E2072" s="21">
        <f t="shared" ref="E2072:E2073" si="358">B2071</f>
        <v>1000000</v>
      </c>
      <c r="F2072" s="20" t="s">
        <v>79</v>
      </c>
      <c r="G2072" s="21">
        <f t="shared" ref="G2072:G2073" si="359">B2074</f>
        <v>4</v>
      </c>
      <c r="H2072" s="4">
        <f>G2072+(G2073/60)</f>
        <v>4.166666667</v>
      </c>
      <c r="I2072" s="21">
        <f>B2079</f>
        <v>6</v>
      </c>
      <c r="J2072" s="22" t="s">
        <v>80</v>
      </c>
      <c r="K2072" s="23">
        <f>B2081/B2082</f>
        <v>0</v>
      </c>
      <c r="P2072" s="19"/>
    </row>
    <row r="2073">
      <c r="A2073" s="12" t="s">
        <v>81</v>
      </c>
      <c r="B2073" s="14"/>
      <c r="C2073" s="14"/>
      <c r="D2073" s="20" t="s">
        <v>78</v>
      </c>
      <c r="E2073" s="21">
        <f t="shared" si="358"/>
        <v>1000000</v>
      </c>
      <c r="F2073" s="20" t="s">
        <v>82</v>
      </c>
      <c r="G2073" s="21">
        <f t="shared" si="359"/>
        <v>10</v>
      </c>
      <c r="J2073" s="22" t="s">
        <v>83</v>
      </c>
      <c r="K2073" s="23">
        <f>B2083/B2084</f>
        <v>0</v>
      </c>
      <c r="P2073" s="19"/>
    </row>
    <row r="2074">
      <c r="A2074" s="24" t="s">
        <v>79</v>
      </c>
      <c r="B2074" s="13">
        <v>4.0</v>
      </c>
      <c r="C2074" s="14"/>
      <c r="D2074" s="20" t="s">
        <v>84</v>
      </c>
      <c r="E2074" s="25">
        <f>E2072-E2073</f>
        <v>0</v>
      </c>
      <c r="F2074" s="26"/>
      <c r="G2074" s="16" t="s">
        <v>85</v>
      </c>
      <c r="H2074" s="16" t="s">
        <v>86</v>
      </c>
      <c r="I2074" s="16" t="s">
        <v>87</v>
      </c>
      <c r="J2074" s="22" t="s">
        <v>88</v>
      </c>
      <c r="K2074" s="23">
        <f>B2085/B2086</f>
        <v>0</v>
      </c>
      <c r="P2074" s="19"/>
    </row>
    <row r="2075">
      <c r="A2075" s="24" t="s">
        <v>89</v>
      </c>
      <c r="B2075" s="13">
        <v>10.0</v>
      </c>
      <c r="C2075" s="14"/>
      <c r="D2075" s="16" t="s">
        <v>90</v>
      </c>
      <c r="F2075" s="20" t="s">
        <v>79</v>
      </c>
      <c r="G2075" s="21">
        <f t="shared" ref="G2075:G2076" si="360">B2077</f>
        <v>4</v>
      </c>
      <c r="H2075" s="25">
        <f>G2075+(G2076/60)</f>
        <v>4.166666667</v>
      </c>
      <c r="I2075" s="25">
        <f>H2072-H2075</f>
        <v>0</v>
      </c>
      <c r="J2075" s="22" t="s">
        <v>91</v>
      </c>
      <c r="K2075" s="23">
        <f>B2087/B2088</f>
        <v>0</v>
      </c>
      <c r="P2075" s="19"/>
    </row>
    <row r="2076">
      <c r="A2076" s="12" t="s">
        <v>85</v>
      </c>
      <c r="B2076" s="27"/>
      <c r="C2076" s="14"/>
      <c r="D2076" s="28" t="s">
        <v>92</v>
      </c>
      <c r="E2076" s="25">
        <f>E2072/H2081</f>
        <v>218181.8182</v>
      </c>
      <c r="F2076" s="20" t="s">
        <v>82</v>
      </c>
      <c r="G2076" s="21">
        <f t="shared" si="360"/>
        <v>10</v>
      </c>
      <c r="J2076" s="22" t="s">
        <v>93</v>
      </c>
      <c r="K2076" s="23">
        <f>B2089/B2090</f>
        <v>0</v>
      </c>
      <c r="P2076" s="19"/>
    </row>
    <row r="2077">
      <c r="A2077" s="24" t="s">
        <v>79</v>
      </c>
      <c r="B2077" s="13">
        <v>4.0</v>
      </c>
      <c r="C2077" s="14"/>
      <c r="D2077" s="28" t="s">
        <v>94</v>
      </c>
      <c r="E2077" s="25">
        <f>E2072/I2072</f>
        <v>166666.6667</v>
      </c>
      <c r="J2077" s="22" t="s">
        <v>95</v>
      </c>
      <c r="K2077" s="23">
        <f>B2091/B2092</f>
        <v>0</v>
      </c>
      <c r="P2077" s="19"/>
    </row>
    <row r="2078">
      <c r="A2078" s="24" t="s">
        <v>89</v>
      </c>
      <c r="B2078" s="13">
        <v>10.0</v>
      </c>
      <c r="C2078" s="14"/>
      <c r="D2078" s="28" t="s">
        <v>96</v>
      </c>
      <c r="E2078" s="25">
        <f>E2076/I2072</f>
        <v>36363.63636</v>
      </c>
      <c r="J2078" s="29" t="s">
        <v>97</v>
      </c>
      <c r="K2078" s="30">
        <f>SUM(K2072:K2077)</f>
        <v>0</v>
      </c>
      <c r="P2078" s="19"/>
    </row>
    <row r="2079">
      <c r="A2079" s="12" t="s">
        <v>98</v>
      </c>
      <c r="B2079" s="13">
        <v>6.0</v>
      </c>
      <c r="C2079" s="14"/>
      <c r="D2079" s="28" t="s">
        <v>99</v>
      </c>
      <c r="E2079" s="31">
        <f>E2078/12</f>
        <v>3030.30303</v>
      </c>
      <c r="I2079" s="29"/>
      <c r="J2079" s="29" t="s">
        <v>100</v>
      </c>
      <c r="K2079" s="30">
        <f>H2089</f>
        <v>0</v>
      </c>
      <c r="P2079" s="19"/>
    </row>
    <row r="2080">
      <c r="A2080" s="32"/>
      <c r="B2080" s="14"/>
      <c r="C2080" s="14"/>
      <c r="D2080" s="28" t="s">
        <v>101</v>
      </c>
      <c r="E2080" s="25">
        <f>E2079*5</f>
        <v>15151.51515</v>
      </c>
      <c r="J2080" s="29" t="s">
        <v>102</v>
      </c>
      <c r="K2080" s="30">
        <f>E2081</f>
        <v>18181.81818</v>
      </c>
      <c r="P2080" s="19"/>
    </row>
    <row r="2081">
      <c r="A2081" s="33" t="s">
        <v>103</v>
      </c>
      <c r="B2081" s="34">
        <v>0.0</v>
      </c>
      <c r="C2081" s="14"/>
      <c r="D2081" s="28" t="s">
        <v>104</v>
      </c>
      <c r="E2081" s="25">
        <f>E2079*6</f>
        <v>18181.81818</v>
      </c>
      <c r="G2081" s="35" t="s">
        <v>105</v>
      </c>
      <c r="H2081" s="36">
        <f>H2072+(25/60)</f>
        <v>4.583333333</v>
      </c>
      <c r="J2081" s="29" t="s">
        <v>106</v>
      </c>
      <c r="K2081" s="30">
        <f>E2089</f>
        <v>20000</v>
      </c>
      <c r="P2081" s="19"/>
    </row>
    <row r="2082">
      <c r="A2082" s="37" t="s">
        <v>107</v>
      </c>
      <c r="B2082" s="38">
        <v>1.0</v>
      </c>
      <c r="C2082" s="14"/>
      <c r="G2082" s="35" t="s">
        <v>108</v>
      </c>
      <c r="H2082" s="36">
        <f>I2075+(25/60)</f>
        <v>0.4166666667</v>
      </c>
      <c r="I2082" s="39" t="s">
        <v>109</v>
      </c>
      <c r="P2082" s="19"/>
    </row>
    <row r="2083">
      <c r="A2083" s="40" t="s">
        <v>110</v>
      </c>
      <c r="B2083" s="13">
        <v>0.0</v>
      </c>
      <c r="C2083" s="14"/>
      <c r="D2083" s="16" t="s">
        <v>111</v>
      </c>
      <c r="G2083" s="16" t="s">
        <v>112</v>
      </c>
      <c r="H2083" s="36"/>
      <c r="I2083" s="39" t="s">
        <v>113</v>
      </c>
      <c r="P2083" s="19"/>
    </row>
    <row r="2084">
      <c r="A2084" s="37" t="s">
        <v>114</v>
      </c>
      <c r="B2084" s="38">
        <v>1.0</v>
      </c>
      <c r="C2084" s="14"/>
      <c r="D2084" s="28" t="s">
        <v>92</v>
      </c>
      <c r="E2084" s="25">
        <f>E2073/H2075</f>
        <v>240000</v>
      </c>
      <c r="G2084" s="28" t="s">
        <v>92</v>
      </c>
      <c r="H2084" s="36">
        <f>E2074/H2082</f>
        <v>0</v>
      </c>
      <c r="I2084" s="39" t="s">
        <v>115</v>
      </c>
      <c r="P2084" s="19"/>
    </row>
    <row r="2085">
      <c r="A2085" s="40" t="s">
        <v>116</v>
      </c>
      <c r="B2085" s="13">
        <v>0.0</v>
      </c>
      <c r="C2085" s="14"/>
      <c r="D2085" s="28" t="s">
        <v>94</v>
      </c>
      <c r="E2085" s="25">
        <f>E2073/I2072</f>
        <v>166666.6667</v>
      </c>
      <c r="G2085" s="28" t="s">
        <v>94</v>
      </c>
      <c r="H2085" s="36">
        <f>E2074/I2072</f>
        <v>0</v>
      </c>
      <c r="I2085" s="39" t="s">
        <v>117</v>
      </c>
      <c r="P2085" s="19"/>
    </row>
    <row r="2086">
      <c r="A2086" s="37" t="s">
        <v>118</v>
      </c>
      <c r="B2086" s="38">
        <v>1.0</v>
      </c>
      <c r="C2086" s="14"/>
      <c r="D2086" s="28" t="s">
        <v>96</v>
      </c>
      <c r="E2086" s="25">
        <f>E2085/H2075</f>
        <v>40000</v>
      </c>
      <c r="G2086" s="28" t="s">
        <v>96</v>
      </c>
      <c r="H2086" s="36">
        <f>H2085/H2082</f>
        <v>0</v>
      </c>
      <c r="P2086" s="19"/>
    </row>
    <row r="2087">
      <c r="A2087" s="40" t="s">
        <v>119</v>
      </c>
      <c r="B2087" s="13">
        <v>0.0</v>
      </c>
      <c r="C2087" s="14"/>
      <c r="D2087" s="28" t="s">
        <v>99</v>
      </c>
      <c r="E2087" s="25">
        <f>E2086/12</f>
        <v>3333.333333</v>
      </c>
      <c r="G2087" s="28" t="s">
        <v>99</v>
      </c>
      <c r="H2087" s="36">
        <f>H2086/12</f>
        <v>0</v>
      </c>
      <c r="P2087" s="19"/>
    </row>
    <row r="2088">
      <c r="A2088" s="37" t="s">
        <v>120</v>
      </c>
      <c r="B2088" s="38">
        <v>1.0</v>
      </c>
      <c r="C2088" s="14"/>
      <c r="D2088" s="28" t="s">
        <v>101</v>
      </c>
      <c r="E2088" s="25">
        <f>E2087*5</f>
        <v>16666.66667</v>
      </c>
      <c r="G2088" s="28" t="s">
        <v>101</v>
      </c>
      <c r="H2088" s="36">
        <f>H2087*5</f>
        <v>0</v>
      </c>
      <c r="P2088" s="19"/>
    </row>
    <row r="2089">
      <c r="A2089" s="40" t="s">
        <v>121</v>
      </c>
      <c r="B2089" s="13">
        <v>0.0</v>
      </c>
      <c r="C2089" s="14"/>
      <c r="D2089" s="28" t="s">
        <v>104</v>
      </c>
      <c r="E2089" s="25">
        <f>E2087*6</f>
        <v>20000</v>
      </c>
      <c r="G2089" s="28" t="s">
        <v>104</v>
      </c>
      <c r="H2089" s="36">
        <f>H2087*6</f>
        <v>0</v>
      </c>
      <c r="P2089" s="19"/>
    </row>
    <row r="2090">
      <c r="A2090" s="37" t="s">
        <v>122</v>
      </c>
      <c r="B2090" s="38">
        <v>1.0</v>
      </c>
      <c r="C2090" s="14"/>
      <c r="P2090" s="19"/>
    </row>
    <row r="2091">
      <c r="A2091" s="40" t="s">
        <v>123</v>
      </c>
      <c r="B2091" s="13">
        <v>0.0</v>
      </c>
      <c r="C2091" s="14"/>
      <c r="D2091" s="28" t="s">
        <v>124</v>
      </c>
      <c r="E2091" s="41"/>
      <c r="F2091" s="41"/>
      <c r="P2091" s="19"/>
    </row>
    <row r="2092">
      <c r="A2092" s="37" t="s">
        <v>125</v>
      </c>
      <c r="B2092" s="38">
        <v>1.0</v>
      </c>
      <c r="C2092" s="14"/>
      <c r="D2092" s="4" t="s">
        <v>126</v>
      </c>
      <c r="E2092" s="25">
        <f t="shared" ref="E2092:E2095" si="361">H2086-E2086</f>
        <v>-40000</v>
      </c>
      <c r="P2092" s="19"/>
    </row>
    <row r="2093">
      <c r="A2093" s="42" t="s">
        <v>127</v>
      </c>
      <c r="C2093" s="14"/>
      <c r="D2093" s="4" t="s">
        <v>128</v>
      </c>
      <c r="E2093" s="25">
        <f t="shared" si="361"/>
        <v>-3333.333333</v>
      </c>
      <c r="P2093" s="19"/>
    </row>
    <row r="2094">
      <c r="A2094" s="32"/>
      <c r="C2094" s="14"/>
      <c r="D2094" s="4" t="s">
        <v>129</v>
      </c>
      <c r="E2094" s="25">
        <f t="shared" si="361"/>
        <v>-16666.66667</v>
      </c>
      <c r="G2094" s="43"/>
      <c r="P2094" s="19"/>
    </row>
    <row r="2095">
      <c r="A2095" s="32"/>
      <c r="C2095" s="14"/>
      <c r="D2095" s="4" t="s">
        <v>130</v>
      </c>
      <c r="E2095" s="25">
        <f t="shared" si="361"/>
        <v>-20000</v>
      </c>
      <c r="P2095" s="19"/>
    </row>
    <row r="2096">
      <c r="A2096" s="24"/>
      <c r="C2096" s="14"/>
      <c r="D2096" s="28" t="s">
        <v>131</v>
      </c>
      <c r="P2096" s="19"/>
    </row>
    <row r="2097">
      <c r="A2097" s="32"/>
      <c r="C2097" s="14"/>
      <c r="D2097" s="4" t="s">
        <v>132</v>
      </c>
      <c r="E2097" s="25">
        <f t="shared" ref="E2097:E2100" si="362">H2086-E2078</f>
        <v>-36363.63636</v>
      </c>
      <c r="P2097" s="19"/>
    </row>
    <row r="2098">
      <c r="A2098" s="32"/>
      <c r="C2098" s="14"/>
      <c r="D2098" s="4" t="s">
        <v>133</v>
      </c>
      <c r="E2098" s="25">
        <f t="shared" si="362"/>
        <v>-3030.30303</v>
      </c>
      <c r="G2098" s="28" t="s">
        <v>134</v>
      </c>
      <c r="I2098" s="35" t="s">
        <v>135</v>
      </c>
      <c r="J2098" s="35" t="s">
        <v>82</v>
      </c>
      <c r="P2098" s="19"/>
    </row>
    <row r="2099">
      <c r="A2099" s="32"/>
      <c r="C2099" s="14"/>
      <c r="D2099" s="4" t="s">
        <v>136</v>
      </c>
      <c r="E2099" s="25">
        <f t="shared" si="362"/>
        <v>-15151.51515</v>
      </c>
      <c r="G2099" s="35" t="s">
        <v>137</v>
      </c>
      <c r="H2099" s="25" t="str">
        <f>(E2072/H2084)-(25/60)</f>
        <v>#DIV/0!</v>
      </c>
      <c r="I2099" s="25" t="str">
        <f t="shared" ref="I2099:I2100" si="363">INT(H2099)</f>
        <v>#DIV/0!</v>
      </c>
      <c r="J2099" s="36" t="str">
        <f t="shared" ref="J2099:J2100" si="364">INT((H2099-I2099)*60)</f>
        <v>#DIV/0!</v>
      </c>
      <c r="P2099" s="19"/>
    </row>
    <row r="2100">
      <c r="A2100" s="44"/>
      <c r="B2100" s="45"/>
      <c r="C2100" s="46"/>
      <c r="D2100" s="47" t="s">
        <v>138</v>
      </c>
      <c r="E2100" s="45">
        <f t="shared" si="362"/>
        <v>-18181.81818</v>
      </c>
      <c r="F2100" s="45"/>
      <c r="G2100" s="48" t="s">
        <v>139</v>
      </c>
      <c r="H2100" s="45" t="str">
        <f>H2072-H2099</f>
        <v>#DIV/0!</v>
      </c>
      <c r="I2100" s="45" t="str">
        <f t="shared" si="363"/>
        <v>#DIV/0!</v>
      </c>
      <c r="J2100" s="49" t="str">
        <f t="shared" si="364"/>
        <v>#DIV/0!</v>
      </c>
      <c r="K2100" s="45"/>
      <c r="L2100" s="45"/>
      <c r="M2100" s="45"/>
      <c r="N2100" s="45"/>
      <c r="O2100" s="45"/>
      <c r="P2100" s="50"/>
    </row>
    <row r="2101">
      <c r="A2101" s="51"/>
      <c r="B2101" s="51"/>
      <c r="D2101" s="51"/>
    </row>
    <row r="2102">
      <c r="D2102" s="51"/>
      <c r="I2102" s="51"/>
    </row>
    <row r="2103">
      <c r="D2103" s="51"/>
      <c r="I2103" s="51"/>
    </row>
    <row r="2104">
      <c r="D2104" s="51"/>
      <c r="G2104" s="51"/>
    </row>
    <row r="2105">
      <c r="G2105" s="51"/>
    </row>
    <row r="2106">
      <c r="D2106" s="51"/>
      <c r="G2106" s="51"/>
    </row>
    <row r="2107">
      <c r="D2107" s="51"/>
      <c r="G2107" s="51"/>
    </row>
    <row r="2108">
      <c r="D2108" s="51"/>
      <c r="G2108" s="51"/>
    </row>
    <row r="2109">
      <c r="D2109" s="51"/>
      <c r="G2109" s="51"/>
    </row>
    <row r="2110">
      <c r="A2110" s="6" t="s">
        <v>70</v>
      </c>
      <c r="B2110" s="52"/>
      <c r="C2110" s="8"/>
      <c r="D2110" s="9" t="s">
        <v>71</v>
      </c>
      <c r="E2110" s="10"/>
      <c r="F2110" s="10"/>
      <c r="G2110" s="10"/>
      <c r="H2110" s="10"/>
      <c r="I2110" s="10"/>
      <c r="J2110" s="10"/>
      <c r="K2110" s="9"/>
      <c r="L2110" s="10"/>
      <c r="M2110" s="10"/>
      <c r="N2110" s="10"/>
      <c r="O2110" s="10"/>
      <c r="P2110" s="11"/>
    </row>
    <row r="2111">
      <c r="A2111" s="12" t="s">
        <v>72</v>
      </c>
      <c r="B2111" s="13">
        <v>1000000.0</v>
      </c>
      <c r="C2111" s="14"/>
      <c r="D2111" s="53" t="str">
        <f>B2110</f>
        <v/>
      </c>
      <c r="E2111" s="16" t="s">
        <v>73</v>
      </c>
      <c r="F2111" s="17"/>
      <c r="G2111" s="16" t="s">
        <v>74</v>
      </c>
      <c r="H2111" s="16" t="s">
        <v>75</v>
      </c>
      <c r="I2111" s="16" t="s">
        <v>76</v>
      </c>
      <c r="J2111" s="18" t="s">
        <v>77</v>
      </c>
      <c r="P2111" s="19"/>
    </row>
    <row r="2112">
      <c r="A2112" s="12" t="s">
        <v>78</v>
      </c>
      <c r="B2112" s="13">
        <v>1000000.0</v>
      </c>
      <c r="C2112" s="14"/>
      <c r="D2112" s="20" t="s">
        <v>72</v>
      </c>
      <c r="E2112" s="21">
        <f t="shared" ref="E2112:E2113" si="365">B2111</f>
        <v>1000000</v>
      </c>
      <c r="F2112" s="20" t="s">
        <v>79</v>
      </c>
      <c r="G2112" s="21">
        <f t="shared" ref="G2112:G2113" si="366">B2114</f>
        <v>4</v>
      </c>
      <c r="H2112" s="4">
        <f>G2112+(G2113/60)</f>
        <v>4.166666667</v>
      </c>
      <c r="I2112" s="21">
        <f>B2119</f>
        <v>6</v>
      </c>
      <c r="J2112" s="22" t="s">
        <v>80</v>
      </c>
      <c r="K2112" s="23">
        <f>B2121/B2122</f>
        <v>0</v>
      </c>
      <c r="P2112" s="19"/>
    </row>
    <row r="2113">
      <c r="A2113" s="12" t="s">
        <v>81</v>
      </c>
      <c r="B2113" s="14"/>
      <c r="C2113" s="14"/>
      <c r="D2113" s="20" t="s">
        <v>78</v>
      </c>
      <c r="E2113" s="21">
        <f t="shared" si="365"/>
        <v>1000000</v>
      </c>
      <c r="F2113" s="20" t="s">
        <v>82</v>
      </c>
      <c r="G2113" s="21">
        <f t="shared" si="366"/>
        <v>10</v>
      </c>
      <c r="J2113" s="22" t="s">
        <v>83</v>
      </c>
      <c r="K2113" s="23">
        <f>B2123/B2124</f>
        <v>0</v>
      </c>
      <c r="P2113" s="19"/>
    </row>
    <row r="2114">
      <c r="A2114" s="24" t="s">
        <v>79</v>
      </c>
      <c r="B2114" s="13">
        <v>4.0</v>
      </c>
      <c r="C2114" s="14"/>
      <c r="D2114" s="20" t="s">
        <v>84</v>
      </c>
      <c r="E2114" s="25">
        <f>E2112-E2113</f>
        <v>0</v>
      </c>
      <c r="F2114" s="26"/>
      <c r="G2114" s="16" t="s">
        <v>85</v>
      </c>
      <c r="H2114" s="16" t="s">
        <v>86</v>
      </c>
      <c r="I2114" s="16" t="s">
        <v>87</v>
      </c>
      <c r="J2114" s="22" t="s">
        <v>88</v>
      </c>
      <c r="K2114" s="23">
        <f>B2125/B2126</f>
        <v>0</v>
      </c>
      <c r="P2114" s="19"/>
    </row>
    <row r="2115">
      <c r="A2115" s="24" t="s">
        <v>89</v>
      </c>
      <c r="B2115" s="13">
        <v>10.0</v>
      </c>
      <c r="C2115" s="14"/>
      <c r="D2115" s="16" t="s">
        <v>90</v>
      </c>
      <c r="F2115" s="20" t="s">
        <v>79</v>
      </c>
      <c r="G2115" s="21">
        <f t="shared" ref="G2115:G2116" si="367">B2117</f>
        <v>4</v>
      </c>
      <c r="H2115" s="25">
        <f>G2115+(G2116/60)</f>
        <v>4.166666667</v>
      </c>
      <c r="I2115" s="25">
        <f>H2112-H2115</f>
        <v>0</v>
      </c>
      <c r="J2115" s="22" t="s">
        <v>91</v>
      </c>
      <c r="K2115" s="23">
        <f>B2127/B2128</f>
        <v>0</v>
      </c>
      <c r="P2115" s="19"/>
    </row>
    <row r="2116">
      <c r="A2116" s="12" t="s">
        <v>85</v>
      </c>
      <c r="B2116" s="27"/>
      <c r="C2116" s="14"/>
      <c r="D2116" s="28" t="s">
        <v>92</v>
      </c>
      <c r="E2116" s="25">
        <f>E2112/H2121</f>
        <v>218181.8182</v>
      </c>
      <c r="F2116" s="20" t="s">
        <v>82</v>
      </c>
      <c r="G2116" s="21">
        <f t="shared" si="367"/>
        <v>10</v>
      </c>
      <c r="J2116" s="22" t="s">
        <v>93</v>
      </c>
      <c r="K2116" s="23">
        <f>B2129/B2130</f>
        <v>0</v>
      </c>
      <c r="P2116" s="19"/>
    </row>
    <row r="2117">
      <c r="A2117" s="24" t="s">
        <v>79</v>
      </c>
      <c r="B2117" s="13">
        <v>4.0</v>
      </c>
      <c r="C2117" s="14"/>
      <c r="D2117" s="28" t="s">
        <v>94</v>
      </c>
      <c r="E2117" s="25">
        <f>E2112/I2112</f>
        <v>166666.6667</v>
      </c>
      <c r="J2117" s="22" t="s">
        <v>95</v>
      </c>
      <c r="K2117" s="23">
        <f>B2131/B2132</f>
        <v>0</v>
      </c>
      <c r="P2117" s="19"/>
    </row>
    <row r="2118">
      <c r="A2118" s="24" t="s">
        <v>89</v>
      </c>
      <c r="B2118" s="13">
        <v>10.0</v>
      </c>
      <c r="C2118" s="14"/>
      <c r="D2118" s="28" t="s">
        <v>96</v>
      </c>
      <c r="E2118" s="25">
        <f>E2116/I2112</f>
        <v>36363.63636</v>
      </c>
      <c r="J2118" s="29" t="s">
        <v>97</v>
      </c>
      <c r="K2118" s="30">
        <f>SUM(K2112:K2117)</f>
        <v>0</v>
      </c>
      <c r="P2118" s="19"/>
    </row>
    <row r="2119">
      <c r="A2119" s="12" t="s">
        <v>98</v>
      </c>
      <c r="B2119" s="13">
        <v>6.0</v>
      </c>
      <c r="C2119" s="14"/>
      <c r="D2119" s="28" t="s">
        <v>99</v>
      </c>
      <c r="E2119" s="31">
        <f>E2118/12</f>
        <v>3030.30303</v>
      </c>
      <c r="I2119" s="29"/>
      <c r="J2119" s="29" t="s">
        <v>100</v>
      </c>
      <c r="K2119" s="30">
        <f>H2129</f>
        <v>0</v>
      </c>
      <c r="P2119" s="19"/>
    </row>
    <row r="2120">
      <c r="A2120" s="32"/>
      <c r="B2120" s="14"/>
      <c r="C2120" s="14"/>
      <c r="D2120" s="28" t="s">
        <v>101</v>
      </c>
      <c r="E2120" s="25">
        <f>E2119*5</f>
        <v>15151.51515</v>
      </c>
      <c r="J2120" s="29" t="s">
        <v>102</v>
      </c>
      <c r="K2120" s="30">
        <f>E2121</f>
        <v>18181.81818</v>
      </c>
      <c r="P2120" s="19"/>
    </row>
    <row r="2121">
      <c r="A2121" s="33" t="s">
        <v>103</v>
      </c>
      <c r="B2121" s="34">
        <v>0.0</v>
      </c>
      <c r="C2121" s="14"/>
      <c r="D2121" s="28" t="s">
        <v>104</v>
      </c>
      <c r="E2121" s="25">
        <f>E2119*6</f>
        <v>18181.81818</v>
      </c>
      <c r="G2121" s="35" t="s">
        <v>105</v>
      </c>
      <c r="H2121" s="36">
        <f>H2112+(25/60)</f>
        <v>4.583333333</v>
      </c>
      <c r="J2121" s="29" t="s">
        <v>106</v>
      </c>
      <c r="K2121" s="30">
        <f>E2129</f>
        <v>20000</v>
      </c>
      <c r="P2121" s="19"/>
    </row>
    <row r="2122">
      <c r="A2122" s="37" t="s">
        <v>107</v>
      </c>
      <c r="B2122" s="38">
        <v>1.0</v>
      </c>
      <c r="C2122" s="14"/>
      <c r="G2122" s="35" t="s">
        <v>108</v>
      </c>
      <c r="H2122" s="36">
        <f>I2115+(25/60)</f>
        <v>0.4166666667</v>
      </c>
      <c r="I2122" s="39" t="s">
        <v>109</v>
      </c>
      <c r="P2122" s="19"/>
    </row>
    <row r="2123">
      <c r="A2123" s="40" t="s">
        <v>110</v>
      </c>
      <c r="B2123" s="13">
        <v>0.0</v>
      </c>
      <c r="C2123" s="14"/>
      <c r="D2123" s="16" t="s">
        <v>111</v>
      </c>
      <c r="G2123" s="16" t="s">
        <v>112</v>
      </c>
      <c r="H2123" s="36"/>
      <c r="I2123" s="39" t="s">
        <v>113</v>
      </c>
      <c r="P2123" s="19"/>
    </row>
    <row r="2124">
      <c r="A2124" s="37" t="s">
        <v>114</v>
      </c>
      <c r="B2124" s="38">
        <v>1.0</v>
      </c>
      <c r="C2124" s="14"/>
      <c r="D2124" s="28" t="s">
        <v>92</v>
      </c>
      <c r="E2124" s="25">
        <f>E2113/H2115</f>
        <v>240000</v>
      </c>
      <c r="G2124" s="28" t="s">
        <v>92</v>
      </c>
      <c r="H2124" s="36">
        <f>E2114/H2122</f>
        <v>0</v>
      </c>
      <c r="I2124" s="39" t="s">
        <v>115</v>
      </c>
      <c r="P2124" s="19"/>
    </row>
    <row r="2125">
      <c r="A2125" s="40" t="s">
        <v>116</v>
      </c>
      <c r="B2125" s="13">
        <v>0.0</v>
      </c>
      <c r="C2125" s="14"/>
      <c r="D2125" s="28" t="s">
        <v>94</v>
      </c>
      <c r="E2125" s="25">
        <f>E2113/I2112</f>
        <v>166666.6667</v>
      </c>
      <c r="G2125" s="28" t="s">
        <v>94</v>
      </c>
      <c r="H2125" s="36">
        <f>E2114/I2112</f>
        <v>0</v>
      </c>
      <c r="I2125" s="39" t="s">
        <v>117</v>
      </c>
      <c r="P2125" s="19"/>
    </row>
    <row r="2126">
      <c r="A2126" s="37" t="s">
        <v>118</v>
      </c>
      <c r="B2126" s="38">
        <v>1.0</v>
      </c>
      <c r="C2126" s="14"/>
      <c r="D2126" s="28" t="s">
        <v>96</v>
      </c>
      <c r="E2126" s="25">
        <f>E2125/H2115</f>
        <v>40000</v>
      </c>
      <c r="G2126" s="28" t="s">
        <v>96</v>
      </c>
      <c r="H2126" s="36">
        <f>H2125/H2122</f>
        <v>0</v>
      </c>
      <c r="P2126" s="19"/>
    </row>
    <row r="2127">
      <c r="A2127" s="40" t="s">
        <v>119</v>
      </c>
      <c r="B2127" s="13">
        <v>0.0</v>
      </c>
      <c r="C2127" s="14"/>
      <c r="D2127" s="28" t="s">
        <v>99</v>
      </c>
      <c r="E2127" s="25">
        <f>E2126/12</f>
        <v>3333.333333</v>
      </c>
      <c r="G2127" s="28" t="s">
        <v>99</v>
      </c>
      <c r="H2127" s="36">
        <f>H2126/12</f>
        <v>0</v>
      </c>
      <c r="P2127" s="19"/>
    </row>
    <row r="2128">
      <c r="A2128" s="37" t="s">
        <v>120</v>
      </c>
      <c r="B2128" s="38">
        <v>1.0</v>
      </c>
      <c r="C2128" s="14"/>
      <c r="D2128" s="28" t="s">
        <v>101</v>
      </c>
      <c r="E2128" s="25">
        <f>E2127*5</f>
        <v>16666.66667</v>
      </c>
      <c r="G2128" s="28" t="s">
        <v>101</v>
      </c>
      <c r="H2128" s="36">
        <f>H2127*5</f>
        <v>0</v>
      </c>
      <c r="P2128" s="19"/>
    </row>
    <row r="2129">
      <c r="A2129" s="40" t="s">
        <v>121</v>
      </c>
      <c r="B2129" s="13">
        <v>0.0</v>
      </c>
      <c r="C2129" s="14"/>
      <c r="D2129" s="28" t="s">
        <v>104</v>
      </c>
      <c r="E2129" s="25">
        <f>E2127*6</f>
        <v>20000</v>
      </c>
      <c r="G2129" s="28" t="s">
        <v>104</v>
      </c>
      <c r="H2129" s="36">
        <f>H2127*6</f>
        <v>0</v>
      </c>
      <c r="P2129" s="19"/>
    </row>
    <row r="2130">
      <c r="A2130" s="37" t="s">
        <v>122</v>
      </c>
      <c r="B2130" s="38">
        <v>1.0</v>
      </c>
      <c r="C2130" s="14"/>
      <c r="P2130" s="19"/>
    </row>
    <row r="2131">
      <c r="A2131" s="40" t="s">
        <v>123</v>
      </c>
      <c r="B2131" s="13">
        <v>0.0</v>
      </c>
      <c r="C2131" s="14"/>
      <c r="D2131" s="28" t="s">
        <v>124</v>
      </c>
      <c r="E2131" s="41"/>
      <c r="F2131" s="41"/>
      <c r="P2131" s="19"/>
    </row>
    <row r="2132">
      <c r="A2132" s="37" t="s">
        <v>125</v>
      </c>
      <c r="B2132" s="38">
        <v>1.0</v>
      </c>
      <c r="C2132" s="14"/>
      <c r="D2132" s="4" t="s">
        <v>126</v>
      </c>
      <c r="E2132" s="25">
        <f t="shared" ref="E2132:E2135" si="368">H2126-E2126</f>
        <v>-40000</v>
      </c>
      <c r="P2132" s="19"/>
    </row>
    <row r="2133">
      <c r="A2133" s="42" t="s">
        <v>127</v>
      </c>
      <c r="C2133" s="14"/>
      <c r="D2133" s="4" t="s">
        <v>128</v>
      </c>
      <c r="E2133" s="25">
        <f t="shared" si="368"/>
        <v>-3333.333333</v>
      </c>
      <c r="P2133" s="19"/>
    </row>
    <row r="2134">
      <c r="A2134" s="32"/>
      <c r="C2134" s="14"/>
      <c r="D2134" s="4" t="s">
        <v>129</v>
      </c>
      <c r="E2134" s="25">
        <f t="shared" si="368"/>
        <v>-16666.66667</v>
      </c>
      <c r="G2134" s="43"/>
      <c r="P2134" s="19"/>
    </row>
    <row r="2135">
      <c r="A2135" s="32"/>
      <c r="C2135" s="14"/>
      <c r="D2135" s="4" t="s">
        <v>130</v>
      </c>
      <c r="E2135" s="25">
        <f t="shared" si="368"/>
        <v>-20000</v>
      </c>
      <c r="P2135" s="19"/>
    </row>
    <row r="2136">
      <c r="A2136" s="24"/>
      <c r="C2136" s="14"/>
      <c r="D2136" s="28" t="s">
        <v>131</v>
      </c>
      <c r="P2136" s="19"/>
    </row>
    <row r="2137">
      <c r="A2137" s="32"/>
      <c r="C2137" s="14"/>
      <c r="D2137" s="4" t="s">
        <v>132</v>
      </c>
      <c r="E2137" s="25">
        <f t="shared" ref="E2137:E2140" si="369">H2126-E2118</f>
        <v>-36363.63636</v>
      </c>
      <c r="P2137" s="19"/>
    </row>
    <row r="2138">
      <c r="A2138" s="32"/>
      <c r="C2138" s="14"/>
      <c r="D2138" s="4" t="s">
        <v>133</v>
      </c>
      <c r="E2138" s="25">
        <f t="shared" si="369"/>
        <v>-3030.30303</v>
      </c>
      <c r="G2138" s="28" t="s">
        <v>134</v>
      </c>
      <c r="I2138" s="35" t="s">
        <v>135</v>
      </c>
      <c r="J2138" s="35" t="s">
        <v>82</v>
      </c>
      <c r="P2138" s="19"/>
    </row>
    <row r="2139">
      <c r="A2139" s="32"/>
      <c r="C2139" s="14"/>
      <c r="D2139" s="4" t="s">
        <v>136</v>
      </c>
      <c r="E2139" s="25">
        <f t="shared" si="369"/>
        <v>-15151.51515</v>
      </c>
      <c r="G2139" s="35" t="s">
        <v>137</v>
      </c>
      <c r="H2139" s="25" t="str">
        <f>(E2112/H2124)-(25/60)</f>
        <v>#DIV/0!</v>
      </c>
      <c r="I2139" s="25" t="str">
        <f t="shared" ref="I2139:I2140" si="370">INT(H2139)</f>
        <v>#DIV/0!</v>
      </c>
      <c r="J2139" s="36" t="str">
        <f t="shared" ref="J2139:J2140" si="371">INT((H2139-I2139)*60)</f>
        <v>#DIV/0!</v>
      </c>
      <c r="P2139" s="19"/>
    </row>
    <row r="2140">
      <c r="A2140" s="44"/>
      <c r="B2140" s="45"/>
      <c r="C2140" s="46"/>
      <c r="D2140" s="47" t="s">
        <v>138</v>
      </c>
      <c r="E2140" s="45">
        <f t="shared" si="369"/>
        <v>-18181.81818</v>
      </c>
      <c r="F2140" s="45"/>
      <c r="G2140" s="48" t="s">
        <v>139</v>
      </c>
      <c r="H2140" s="45" t="str">
        <f>H2112-H2139</f>
        <v>#DIV/0!</v>
      </c>
      <c r="I2140" s="45" t="str">
        <f t="shared" si="370"/>
        <v>#DIV/0!</v>
      </c>
      <c r="J2140" s="49" t="str">
        <f t="shared" si="371"/>
        <v>#DIV/0!</v>
      </c>
      <c r="K2140" s="45"/>
      <c r="L2140" s="45"/>
      <c r="M2140" s="45"/>
      <c r="N2140" s="45"/>
      <c r="O2140" s="45"/>
      <c r="P2140" s="50"/>
    </row>
    <row r="2141">
      <c r="A2141" s="51"/>
      <c r="B2141" s="51"/>
      <c r="D2141" s="51"/>
    </row>
    <row r="2142">
      <c r="D2142" s="51"/>
      <c r="I2142" s="51"/>
    </row>
    <row r="2143">
      <c r="D2143" s="51"/>
      <c r="I2143" s="51"/>
    </row>
    <row r="2144">
      <c r="A2144" s="51"/>
      <c r="D2144" s="51"/>
      <c r="G2144" s="51"/>
    </row>
    <row r="2145">
      <c r="A2145" s="51"/>
      <c r="G2145" s="51"/>
    </row>
    <row r="2146">
      <c r="A2146" s="51"/>
      <c r="D2146" s="51"/>
      <c r="G2146" s="51"/>
    </row>
    <row r="2147">
      <c r="A2147" s="51"/>
      <c r="D2147" s="51"/>
      <c r="G2147" s="51"/>
    </row>
    <row r="2148">
      <c r="A2148" s="51"/>
      <c r="D2148" s="51"/>
      <c r="G2148" s="51"/>
    </row>
    <row r="2149">
      <c r="A2149" s="51"/>
      <c r="D2149" s="51"/>
      <c r="G2149" s="51"/>
    </row>
    <row r="2150">
      <c r="A2150" s="6" t="s">
        <v>70</v>
      </c>
      <c r="B2150" s="52"/>
      <c r="C2150" s="8"/>
      <c r="D2150" s="9" t="s">
        <v>71</v>
      </c>
      <c r="E2150" s="10"/>
      <c r="F2150" s="10"/>
      <c r="G2150" s="10"/>
      <c r="H2150" s="10"/>
      <c r="I2150" s="10"/>
      <c r="J2150" s="10"/>
      <c r="K2150" s="9"/>
      <c r="L2150" s="10"/>
      <c r="M2150" s="10"/>
      <c r="N2150" s="10"/>
      <c r="O2150" s="10"/>
      <c r="P2150" s="11"/>
    </row>
    <row r="2151">
      <c r="A2151" s="12" t="s">
        <v>72</v>
      </c>
      <c r="B2151" s="13">
        <v>1000000.0</v>
      </c>
      <c r="C2151" s="14"/>
      <c r="D2151" s="53" t="str">
        <f>B2150</f>
        <v/>
      </c>
      <c r="E2151" s="16" t="s">
        <v>73</v>
      </c>
      <c r="F2151" s="17"/>
      <c r="G2151" s="16" t="s">
        <v>74</v>
      </c>
      <c r="H2151" s="16" t="s">
        <v>75</v>
      </c>
      <c r="I2151" s="16" t="s">
        <v>76</v>
      </c>
      <c r="J2151" s="18" t="s">
        <v>77</v>
      </c>
      <c r="P2151" s="19"/>
    </row>
    <row r="2152">
      <c r="A2152" s="12" t="s">
        <v>78</v>
      </c>
      <c r="B2152" s="13">
        <v>1000000.0</v>
      </c>
      <c r="C2152" s="14"/>
      <c r="D2152" s="20" t="s">
        <v>72</v>
      </c>
      <c r="E2152" s="21">
        <f t="shared" ref="E2152:E2153" si="372">B2151</f>
        <v>1000000</v>
      </c>
      <c r="F2152" s="20" t="s">
        <v>79</v>
      </c>
      <c r="G2152" s="21">
        <f t="shared" ref="G2152:G2153" si="373">B2154</f>
        <v>4</v>
      </c>
      <c r="H2152" s="4">
        <f>G2152+(G2153/60)</f>
        <v>4.166666667</v>
      </c>
      <c r="I2152" s="21">
        <f>B2159</f>
        <v>6</v>
      </c>
      <c r="J2152" s="22" t="s">
        <v>80</v>
      </c>
      <c r="K2152" s="23">
        <f>B2161/B2162</f>
        <v>0</v>
      </c>
      <c r="P2152" s="19"/>
    </row>
    <row r="2153">
      <c r="A2153" s="12" t="s">
        <v>81</v>
      </c>
      <c r="B2153" s="14"/>
      <c r="C2153" s="14"/>
      <c r="D2153" s="20" t="s">
        <v>78</v>
      </c>
      <c r="E2153" s="21">
        <f t="shared" si="372"/>
        <v>1000000</v>
      </c>
      <c r="F2153" s="20" t="s">
        <v>82</v>
      </c>
      <c r="G2153" s="21">
        <f t="shared" si="373"/>
        <v>10</v>
      </c>
      <c r="J2153" s="22" t="s">
        <v>83</v>
      </c>
      <c r="K2153" s="23">
        <f>B2163/B2164</f>
        <v>0</v>
      </c>
      <c r="P2153" s="19"/>
    </row>
    <row r="2154">
      <c r="A2154" s="24" t="s">
        <v>79</v>
      </c>
      <c r="B2154" s="13">
        <v>4.0</v>
      </c>
      <c r="C2154" s="14"/>
      <c r="D2154" s="20" t="s">
        <v>84</v>
      </c>
      <c r="E2154" s="25">
        <f>E2152-E2153</f>
        <v>0</v>
      </c>
      <c r="F2154" s="26"/>
      <c r="G2154" s="16" t="s">
        <v>85</v>
      </c>
      <c r="H2154" s="16" t="s">
        <v>86</v>
      </c>
      <c r="I2154" s="16" t="s">
        <v>87</v>
      </c>
      <c r="J2154" s="22" t="s">
        <v>88</v>
      </c>
      <c r="K2154" s="23">
        <f>B2165/B2166</f>
        <v>0</v>
      </c>
      <c r="P2154" s="19"/>
    </row>
    <row r="2155">
      <c r="A2155" s="24" t="s">
        <v>89</v>
      </c>
      <c r="B2155" s="13">
        <v>10.0</v>
      </c>
      <c r="C2155" s="14"/>
      <c r="D2155" s="16" t="s">
        <v>90</v>
      </c>
      <c r="F2155" s="20" t="s">
        <v>79</v>
      </c>
      <c r="G2155" s="21">
        <f t="shared" ref="G2155:G2156" si="374">B2157</f>
        <v>4</v>
      </c>
      <c r="H2155" s="25">
        <f>G2155+(G2156/60)</f>
        <v>4.166666667</v>
      </c>
      <c r="I2155" s="25">
        <f>H2152-H2155</f>
        <v>0</v>
      </c>
      <c r="J2155" s="22" t="s">
        <v>91</v>
      </c>
      <c r="K2155" s="23">
        <f>B2167/B2168</f>
        <v>0</v>
      </c>
      <c r="P2155" s="19"/>
    </row>
    <row r="2156">
      <c r="A2156" s="12" t="s">
        <v>85</v>
      </c>
      <c r="B2156" s="27"/>
      <c r="C2156" s="14"/>
      <c r="D2156" s="28" t="s">
        <v>92</v>
      </c>
      <c r="E2156" s="25">
        <f>E2152/H2161</f>
        <v>218181.8182</v>
      </c>
      <c r="F2156" s="20" t="s">
        <v>82</v>
      </c>
      <c r="G2156" s="21">
        <f t="shared" si="374"/>
        <v>10</v>
      </c>
      <c r="J2156" s="22" t="s">
        <v>93</v>
      </c>
      <c r="K2156" s="23">
        <f>B2169/B2170</f>
        <v>0</v>
      </c>
      <c r="P2156" s="19"/>
    </row>
    <row r="2157">
      <c r="A2157" s="24" t="s">
        <v>79</v>
      </c>
      <c r="B2157" s="13">
        <v>4.0</v>
      </c>
      <c r="C2157" s="14"/>
      <c r="D2157" s="28" t="s">
        <v>94</v>
      </c>
      <c r="E2157" s="25">
        <f>E2152/I2152</f>
        <v>166666.6667</v>
      </c>
      <c r="J2157" s="22" t="s">
        <v>95</v>
      </c>
      <c r="K2157" s="23">
        <f>B2171/B2172</f>
        <v>0</v>
      </c>
      <c r="P2157" s="19"/>
    </row>
    <row r="2158">
      <c r="A2158" s="24" t="s">
        <v>89</v>
      </c>
      <c r="B2158" s="13">
        <v>10.0</v>
      </c>
      <c r="C2158" s="14"/>
      <c r="D2158" s="28" t="s">
        <v>96</v>
      </c>
      <c r="E2158" s="25">
        <f>E2156/I2152</f>
        <v>36363.63636</v>
      </c>
      <c r="J2158" s="29" t="s">
        <v>97</v>
      </c>
      <c r="K2158" s="30">
        <f>SUM(K2152:K2157)</f>
        <v>0</v>
      </c>
      <c r="P2158" s="19"/>
    </row>
    <row r="2159">
      <c r="A2159" s="12" t="s">
        <v>98</v>
      </c>
      <c r="B2159" s="13">
        <v>6.0</v>
      </c>
      <c r="C2159" s="14"/>
      <c r="D2159" s="28" t="s">
        <v>99</v>
      </c>
      <c r="E2159" s="31">
        <f>E2158/12</f>
        <v>3030.30303</v>
      </c>
      <c r="I2159" s="29"/>
      <c r="J2159" s="29" t="s">
        <v>100</v>
      </c>
      <c r="K2159" s="30">
        <f>H2169</f>
        <v>0</v>
      </c>
      <c r="P2159" s="19"/>
    </row>
    <row r="2160">
      <c r="A2160" s="32"/>
      <c r="B2160" s="14"/>
      <c r="C2160" s="14"/>
      <c r="D2160" s="28" t="s">
        <v>101</v>
      </c>
      <c r="E2160" s="25">
        <f>E2159*5</f>
        <v>15151.51515</v>
      </c>
      <c r="J2160" s="29" t="s">
        <v>102</v>
      </c>
      <c r="K2160" s="30">
        <f>E2161</f>
        <v>18181.81818</v>
      </c>
      <c r="P2160" s="19"/>
    </row>
    <row r="2161">
      <c r="A2161" s="33" t="s">
        <v>103</v>
      </c>
      <c r="B2161" s="34">
        <v>0.0</v>
      </c>
      <c r="C2161" s="14"/>
      <c r="D2161" s="28" t="s">
        <v>104</v>
      </c>
      <c r="E2161" s="25">
        <f>E2159*6</f>
        <v>18181.81818</v>
      </c>
      <c r="G2161" s="35" t="s">
        <v>105</v>
      </c>
      <c r="H2161" s="36">
        <f>H2152+(25/60)</f>
        <v>4.583333333</v>
      </c>
      <c r="J2161" s="29" t="s">
        <v>106</v>
      </c>
      <c r="K2161" s="30">
        <f>E2169</f>
        <v>20000</v>
      </c>
      <c r="P2161" s="19"/>
    </row>
    <row r="2162">
      <c r="A2162" s="37" t="s">
        <v>107</v>
      </c>
      <c r="B2162" s="38">
        <v>1.0</v>
      </c>
      <c r="C2162" s="14"/>
      <c r="G2162" s="35" t="s">
        <v>108</v>
      </c>
      <c r="H2162" s="36">
        <f>I2155+(25/60)</f>
        <v>0.4166666667</v>
      </c>
      <c r="I2162" s="39" t="s">
        <v>109</v>
      </c>
      <c r="P2162" s="19"/>
    </row>
    <row r="2163">
      <c r="A2163" s="40" t="s">
        <v>110</v>
      </c>
      <c r="B2163" s="13">
        <v>0.0</v>
      </c>
      <c r="C2163" s="14"/>
      <c r="D2163" s="16" t="s">
        <v>111</v>
      </c>
      <c r="G2163" s="16" t="s">
        <v>112</v>
      </c>
      <c r="H2163" s="36"/>
      <c r="I2163" s="39" t="s">
        <v>113</v>
      </c>
      <c r="P2163" s="19"/>
    </row>
    <row r="2164">
      <c r="A2164" s="37" t="s">
        <v>114</v>
      </c>
      <c r="B2164" s="38">
        <v>1.0</v>
      </c>
      <c r="C2164" s="14"/>
      <c r="D2164" s="28" t="s">
        <v>92</v>
      </c>
      <c r="E2164" s="25">
        <f>E2153/H2155</f>
        <v>240000</v>
      </c>
      <c r="G2164" s="28" t="s">
        <v>92</v>
      </c>
      <c r="H2164" s="36">
        <f>E2154/H2162</f>
        <v>0</v>
      </c>
      <c r="I2164" s="39" t="s">
        <v>115</v>
      </c>
      <c r="P2164" s="19"/>
    </row>
    <row r="2165">
      <c r="A2165" s="40" t="s">
        <v>116</v>
      </c>
      <c r="B2165" s="13">
        <v>0.0</v>
      </c>
      <c r="C2165" s="14"/>
      <c r="D2165" s="28" t="s">
        <v>94</v>
      </c>
      <c r="E2165" s="25">
        <f>E2153/I2152</f>
        <v>166666.6667</v>
      </c>
      <c r="G2165" s="28" t="s">
        <v>94</v>
      </c>
      <c r="H2165" s="36">
        <f>E2154/I2152</f>
        <v>0</v>
      </c>
      <c r="I2165" s="39" t="s">
        <v>117</v>
      </c>
      <c r="P2165" s="19"/>
    </row>
    <row r="2166">
      <c r="A2166" s="37" t="s">
        <v>118</v>
      </c>
      <c r="B2166" s="38">
        <v>1.0</v>
      </c>
      <c r="C2166" s="14"/>
      <c r="D2166" s="28" t="s">
        <v>96</v>
      </c>
      <c r="E2166" s="25">
        <f>E2165/H2155</f>
        <v>40000</v>
      </c>
      <c r="G2166" s="28" t="s">
        <v>96</v>
      </c>
      <c r="H2166" s="36">
        <f>H2165/H2162</f>
        <v>0</v>
      </c>
      <c r="P2166" s="19"/>
    </row>
    <row r="2167">
      <c r="A2167" s="40" t="s">
        <v>119</v>
      </c>
      <c r="B2167" s="13">
        <v>0.0</v>
      </c>
      <c r="C2167" s="14"/>
      <c r="D2167" s="28" t="s">
        <v>99</v>
      </c>
      <c r="E2167" s="25">
        <f>E2166/12</f>
        <v>3333.333333</v>
      </c>
      <c r="G2167" s="28" t="s">
        <v>99</v>
      </c>
      <c r="H2167" s="36">
        <f>H2166/12</f>
        <v>0</v>
      </c>
      <c r="P2167" s="19"/>
    </row>
    <row r="2168">
      <c r="A2168" s="37" t="s">
        <v>120</v>
      </c>
      <c r="B2168" s="38">
        <v>1.0</v>
      </c>
      <c r="C2168" s="14"/>
      <c r="D2168" s="28" t="s">
        <v>101</v>
      </c>
      <c r="E2168" s="25">
        <f>E2167*5</f>
        <v>16666.66667</v>
      </c>
      <c r="G2168" s="28" t="s">
        <v>101</v>
      </c>
      <c r="H2168" s="36">
        <f>H2167*5</f>
        <v>0</v>
      </c>
      <c r="P2168" s="19"/>
    </row>
    <row r="2169">
      <c r="A2169" s="40" t="s">
        <v>121</v>
      </c>
      <c r="B2169" s="13">
        <v>0.0</v>
      </c>
      <c r="C2169" s="14"/>
      <c r="D2169" s="28" t="s">
        <v>104</v>
      </c>
      <c r="E2169" s="25">
        <f>E2167*6</f>
        <v>20000</v>
      </c>
      <c r="G2169" s="28" t="s">
        <v>104</v>
      </c>
      <c r="H2169" s="36">
        <f>H2167*6</f>
        <v>0</v>
      </c>
      <c r="P2169" s="19"/>
    </row>
    <row r="2170">
      <c r="A2170" s="37" t="s">
        <v>122</v>
      </c>
      <c r="B2170" s="38">
        <v>1.0</v>
      </c>
      <c r="C2170" s="14"/>
      <c r="P2170" s="19"/>
    </row>
    <row r="2171">
      <c r="A2171" s="40" t="s">
        <v>123</v>
      </c>
      <c r="B2171" s="13">
        <v>0.0</v>
      </c>
      <c r="C2171" s="14"/>
      <c r="D2171" s="28" t="s">
        <v>124</v>
      </c>
      <c r="E2171" s="41"/>
      <c r="F2171" s="41"/>
      <c r="P2171" s="19"/>
    </row>
    <row r="2172">
      <c r="A2172" s="37" t="s">
        <v>125</v>
      </c>
      <c r="B2172" s="38">
        <v>1.0</v>
      </c>
      <c r="C2172" s="14"/>
      <c r="D2172" s="4" t="s">
        <v>126</v>
      </c>
      <c r="E2172" s="25">
        <f t="shared" ref="E2172:E2175" si="375">H2166-E2166</f>
        <v>-40000</v>
      </c>
      <c r="P2172" s="19"/>
    </row>
    <row r="2173">
      <c r="A2173" s="42" t="s">
        <v>127</v>
      </c>
      <c r="C2173" s="14"/>
      <c r="D2173" s="4" t="s">
        <v>128</v>
      </c>
      <c r="E2173" s="25">
        <f t="shared" si="375"/>
        <v>-3333.333333</v>
      </c>
      <c r="P2173" s="19"/>
    </row>
    <row r="2174">
      <c r="A2174" s="32"/>
      <c r="C2174" s="14"/>
      <c r="D2174" s="4" t="s">
        <v>129</v>
      </c>
      <c r="E2174" s="25">
        <f t="shared" si="375"/>
        <v>-16666.66667</v>
      </c>
      <c r="G2174" s="43"/>
      <c r="P2174" s="19"/>
    </row>
    <row r="2175">
      <c r="A2175" s="32"/>
      <c r="C2175" s="14"/>
      <c r="D2175" s="4" t="s">
        <v>130</v>
      </c>
      <c r="E2175" s="25">
        <f t="shared" si="375"/>
        <v>-20000</v>
      </c>
      <c r="P2175" s="19"/>
    </row>
    <row r="2176">
      <c r="A2176" s="24"/>
      <c r="C2176" s="14"/>
      <c r="D2176" s="28" t="s">
        <v>131</v>
      </c>
      <c r="P2176" s="19"/>
    </row>
    <row r="2177">
      <c r="A2177" s="32"/>
      <c r="C2177" s="14"/>
      <c r="D2177" s="4" t="s">
        <v>132</v>
      </c>
      <c r="E2177" s="25">
        <f t="shared" ref="E2177:E2180" si="376">H2166-E2158</f>
        <v>-36363.63636</v>
      </c>
      <c r="P2177" s="19"/>
    </row>
    <row r="2178">
      <c r="A2178" s="32"/>
      <c r="C2178" s="14"/>
      <c r="D2178" s="4" t="s">
        <v>133</v>
      </c>
      <c r="E2178" s="25">
        <f t="shared" si="376"/>
        <v>-3030.30303</v>
      </c>
      <c r="G2178" s="28" t="s">
        <v>134</v>
      </c>
      <c r="I2178" s="35" t="s">
        <v>135</v>
      </c>
      <c r="J2178" s="35" t="s">
        <v>82</v>
      </c>
      <c r="P2178" s="19"/>
    </row>
    <row r="2179">
      <c r="A2179" s="32"/>
      <c r="C2179" s="14"/>
      <c r="D2179" s="4" t="s">
        <v>136</v>
      </c>
      <c r="E2179" s="25">
        <f t="shared" si="376"/>
        <v>-15151.51515</v>
      </c>
      <c r="G2179" s="35" t="s">
        <v>137</v>
      </c>
      <c r="H2179" s="25" t="str">
        <f>(E2152/H2164)-(25/60)</f>
        <v>#DIV/0!</v>
      </c>
      <c r="I2179" s="25" t="str">
        <f t="shared" ref="I2179:I2180" si="377">INT(H2179)</f>
        <v>#DIV/0!</v>
      </c>
      <c r="J2179" s="36" t="str">
        <f t="shared" ref="J2179:J2180" si="378">INT((H2179-I2179)*60)</f>
        <v>#DIV/0!</v>
      </c>
      <c r="P2179" s="19"/>
    </row>
    <row r="2180">
      <c r="A2180" s="44"/>
      <c r="B2180" s="45"/>
      <c r="C2180" s="46"/>
      <c r="D2180" s="47" t="s">
        <v>138</v>
      </c>
      <c r="E2180" s="45">
        <f t="shared" si="376"/>
        <v>-18181.81818</v>
      </c>
      <c r="F2180" s="45"/>
      <c r="G2180" s="48" t="s">
        <v>139</v>
      </c>
      <c r="H2180" s="45" t="str">
        <f>H2152-H2179</f>
        <v>#DIV/0!</v>
      </c>
      <c r="I2180" s="45" t="str">
        <f t="shared" si="377"/>
        <v>#DIV/0!</v>
      </c>
      <c r="J2180" s="49" t="str">
        <f t="shared" si="378"/>
        <v>#DIV/0!</v>
      </c>
      <c r="K2180" s="45"/>
      <c r="L2180" s="45"/>
      <c r="M2180" s="45"/>
      <c r="N2180" s="45"/>
      <c r="O2180" s="45"/>
      <c r="P2180" s="50"/>
    </row>
    <row r="2182">
      <c r="A2182" s="51"/>
      <c r="D2182" s="51"/>
    </row>
    <row r="2183">
      <c r="A2183" s="51"/>
      <c r="B2183" s="51"/>
      <c r="E2183" s="51"/>
      <c r="G2183" s="51"/>
      <c r="H2183" s="51"/>
      <c r="I2183" s="51"/>
    </row>
    <row r="2184">
      <c r="A2184" s="51"/>
      <c r="B2184" s="51"/>
      <c r="D2184" s="51"/>
      <c r="E2184" s="51"/>
      <c r="F2184" s="51"/>
      <c r="G2184" s="51"/>
      <c r="I2184" s="51"/>
    </row>
    <row r="2185">
      <c r="A2185" s="51"/>
      <c r="D2185" s="51"/>
      <c r="E2185" s="51"/>
      <c r="F2185" s="51"/>
      <c r="G2185" s="51"/>
    </row>
    <row r="2186">
      <c r="A2186" s="51"/>
      <c r="B2186" s="51"/>
      <c r="D2186" s="51"/>
      <c r="G2186" s="51"/>
      <c r="H2186" s="51"/>
      <c r="I2186" s="51"/>
    </row>
    <row r="2187">
      <c r="A2187" s="51"/>
      <c r="B2187" s="51"/>
      <c r="F2187" s="51"/>
      <c r="G2187" s="51"/>
    </row>
    <row r="2188">
      <c r="A2188" s="51"/>
      <c r="B2188" s="51"/>
      <c r="F2188" s="51"/>
      <c r="G2188" s="51"/>
    </row>
    <row r="2189">
      <c r="A2189" s="51"/>
      <c r="B2189" s="51"/>
      <c r="D2189" s="51"/>
    </row>
    <row r="2190">
      <c r="A2190" s="6" t="s">
        <v>70</v>
      </c>
      <c r="B2190" s="52"/>
      <c r="C2190" s="8"/>
      <c r="D2190" s="9" t="s">
        <v>71</v>
      </c>
      <c r="E2190" s="10"/>
      <c r="F2190" s="10"/>
      <c r="G2190" s="10"/>
      <c r="H2190" s="10"/>
      <c r="I2190" s="10"/>
      <c r="J2190" s="10"/>
      <c r="K2190" s="9"/>
      <c r="L2190" s="10"/>
      <c r="M2190" s="10"/>
      <c r="N2190" s="10"/>
      <c r="O2190" s="10"/>
      <c r="P2190" s="11"/>
    </row>
    <row r="2191">
      <c r="A2191" s="12" t="s">
        <v>72</v>
      </c>
      <c r="B2191" s="13">
        <v>1000000.0</v>
      </c>
      <c r="C2191" s="14"/>
      <c r="D2191" s="53" t="str">
        <f>B2190</f>
        <v/>
      </c>
      <c r="E2191" s="16" t="s">
        <v>73</v>
      </c>
      <c r="F2191" s="17"/>
      <c r="G2191" s="16" t="s">
        <v>74</v>
      </c>
      <c r="H2191" s="16" t="s">
        <v>75</v>
      </c>
      <c r="I2191" s="16" t="s">
        <v>76</v>
      </c>
      <c r="J2191" s="18" t="s">
        <v>77</v>
      </c>
      <c r="P2191" s="19"/>
    </row>
    <row r="2192">
      <c r="A2192" s="12" t="s">
        <v>78</v>
      </c>
      <c r="B2192" s="13">
        <v>1000000.0</v>
      </c>
      <c r="C2192" s="14"/>
      <c r="D2192" s="20" t="s">
        <v>72</v>
      </c>
      <c r="E2192" s="21">
        <f t="shared" ref="E2192:E2193" si="379">B2191</f>
        <v>1000000</v>
      </c>
      <c r="F2192" s="20" t="s">
        <v>79</v>
      </c>
      <c r="G2192" s="21">
        <f t="shared" ref="G2192:G2193" si="380">B2194</f>
        <v>4</v>
      </c>
      <c r="H2192" s="4">
        <f>G2192+(G2193/60)</f>
        <v>4.166666667</v>
      </c>
      <c r="I2192" s="21">
        <f>B2199</f>
        <v>6</v>
      </c>
      <c r="J2192" s="22" t="s">
        <v>80</v>
      </c>
      <c r="K2192" s="23">
        <f>B2201/B2202</f>
        <v>0</v>
      </c>
      <c r="P2192" s="19"/>
    </row>
    <row r="2193">
      <c r="A2193" s="12" t="s">
        <v>81</v>
      </c>
      <c r="B2193" s="14"/>
      <c r="C2193" s="14"/>
      <c r="D2193" s="20" t="s">
        <v>78</v>
      </c>
      <c r="E2193" s="21">
        <f t="shared" si="379"/>
        <v>1000000</v>
      </c>
      <c r="F2193" s="20" t="s">
        <v>82</v>
      </c>
      <c r="G2193" s="21">
        <f t="shared" si="380"/>
        <v>10</v>
      </c>
      <c r="J2193" s="22" t="s">
        <v>83</v>
      </c>
      <c r="K2193" s="23">
        <f>B2203/B2204</f>
        <v>0</v>
      </c>
      <c r="P2193" s="19"/>
    </row>
    <row r="2194">
      <c r="A2194" s="24" t="s">
        <v>79</v>
      </c>
      <c r="B2194" s="13">
        <v>4.0</v>
      </c>
      <c r="C2194" s="14"/>
      <c r="D2194" s="20" t="s">
        <v>84</v>
      </c>
      <c r="E2194" s="25">
        <f>E2192-E2193</f>
        <v>0</v>
      </c>
      <c r="F2194" s="26"/>
      <c r="G2194" s="16" t="s">
        <v>85</v>
      </c>
      <c r="H2194" s="16" t="s">
        <v>86</v>
      </c>
      <c r="I2194" s="16" t="s">
        <v>87</v>
      </c>
      <c r="J2194" s="22" t="s">
        <v>88</v>
      </c>
      <c r="K2194" s="23">
        <f>B2205/B2206</f>
        <v>0</v>
      </c>
      <c r="P2194" s="19"/>
    </row>
    <row r="2195">
      <c r="A2195" s="24" t="s">
        <v>89</v>
      </c>
      <c r="B2195" s="13">
        <v>10.0</v>
      </c>
      <c r="C2195" s="14"/>
      <c r="D2195" s="16" t="s">
        <v>90</v>
      </c>
      <c r="F2195" s="20" t="s">
        <v>79</v>
      </c>
      <c r="G2195" s="21">
        <f t="shared" ref="G2195:G2196" si="381">B2197</f>
        <v>4</v>
      </c>
      <c r="H2195" s="25">
        <f>G2195+(G2196/60)</f>
        <v>4.166666667</v>
      </c>
      <c r="I2195" s="25">
        <f>H2192-H2195</f>
        <v>0</v>
      </c>
      <c r="J2195" s="22" t="s">
        <v>91</v>
      </c>
      <c r="K2195" s="23">
        <f>B2207/B2208</f>
        <v>0</v>
      </c>
      <c r="P2195" s="19"/>
    </row>
    <row r="2196">
      <c r="A2196" s="12" t="s">
        <v>85</v>
      </c>
      <c r="B2196" s="27"/>
      <c r="C2196" s="14"/>
      <c r="D2196" s="28" t="s">
        <v>92</v>
      </c>
      <c r="E2196" s="25">
        <f>E2192/H2201</f>
        <v>218181.8182</v>
      </c>
      <c r="F2196" s="20" t="s">
        <v>82</v>
      </c>
      <c r="G2196" s="21">
        <f t="shared" si="381"/>
        <v>10</v>
      </c>
      <c r="J2196" s="22" t="s">
        <v>93</v>
      </c>
      <c r="K2196" s="23">
        <f>B2209/B2210</f>
        <v>0</v>
      </c>
      <c r="P2196" s="19"/>
    </row>
    <row r="2197">
      <c r="A2197" s="24" t="s">
        <v>79</v>
      </c>
      <c r="B2197" s="13">
        <v>4.0</v>
      </c>
      <c r="C2197" s="14"/>
      <c r="D2197" s="28" t="s">
        <v>94</v>
      </c>
      <c r="E2197" s="25">
        <f>E2192/I2192</f>
        <v>166666.6667</v>
      </c>
      <c r="J2197" s="22" t="s">
        <v>95</v>
      </c>
      <c r="K2197" s="23">
        <f>B2211/B2212</f>
        <v>0</v>
      </c>
      <c r="P2197" s="19"/>
    </row>
    <row r="2198">
      <c r="A2198" s="24" t="s">
        <v>89</v>
      </c>
      <c r="B2198" s="13">
        <v>10.0</v>
      </c>
      <c r="C2198" s="14"/>
      <c r="D2198" s="28" t="s">
        <v>96</v>
      </c>
      <c r="E2198" s="25">
        <f>E2196/I2192</f>
        <v>36363.63636</v>
      </c>
      <c r="J2198" s="29" t="s">
        <v>97</v>
      </c>
      <c r="K2198" s="30">
        <f>SUM(K2192:K2197)</f>
        <v>0</v>
      </c>
      <c r="P2198" s="19"/>
    </row>
    <row r="2199">
      <c r="A2199" s="12" t="s">
        <v>98</v>
      </c>
      <c r="B2199" s="13">
        <v>6.0</v>
      </c>
      <c r="C2199" s="14"/>
      <c r="D2199" s="28" t="s">
        <v>99</v>
      </c>
      <c r="E2199" s="31">
        <f>E2198/12</f>
        <v>3030.30303</v>
      </c>
      <c r="I2199" s="29"/>
      <c r="J2199" s="29" t="s">
        <v>100</v>
      </c>
      <c r="K2199" s="30">
        <f>H2209</f>
        <v>0</v>
      </c>
      <c r="P2199" s="19"/>
    </row>
    <row r="2200">
      <c r="A2200" s="32"/>
      <c r="B2200" s="14"/>
      <c r="C2200" s="14"/>
      <c r="D2200" s="28" t="s">
        <v>101</v>
      </c>
      <c r="E2200" s="25">
        <f>E2199*5</f>
        <v>15151.51515</v>
      </c>
      <c r="J2200" s="29" t="s">
        <v>102</v>
      </c>
      <c r="K2200" s="30">
        <f>E2201</f>
        <v>18181.81818</v>
      </c>
      <c r="P2200" s="19"/>
    </row>
    <row r="2201">
      <c r="A2201" s="33" t="s">
        <v>103</v>
      </c>
      <c r="B2201" s="34">
        <v>0.0</v>
      </c>
      <c r="C2201" s="14"/>
      <c r="D2201" s="28" t="s">
        <v>104</v>
      </c>
      <c r="E2201" s="25">
        <f>E2199*6</f>
        <v>18181.81818</v>
      </c>
      <c r="G2201" s="35" t="s">
        <v>105</v>
      </c>
      <c r="H2201" s="36">
        <f>H2192+(25/60)</f>
        <v>4.583333333</v>
      </c>
      <c r="J2201" s="29" t="s">
        <v>106</v>
      </c>
      <c r="K2201" s="30">
        <f>E2209</f>
        <v>20000</v>
      </c>
      <c r="P2201" s="19"/>
    </row>
    <row r="2202">
      <c r="A2202" s="37" t="s">
        <v>107</v>
      </c>
      <c r="B2202" s="38">
        <v>1.0</v>
      </c>
      <c r="C2202" s="14"/>
      <c r="G2202" s="35" t="s">
        <v>108</v>
      </c>
      <c r="H2202" s="36">
        <f>I2195+(25/60)</f>
        <v>0.4166666667</v>
      </c>
      <c r="I2202" s="39" t="s">
        <v>109</v>
      </c>
      <c r="P2202" s="19"/>
    </row>
    <row r="2203">
      <c r="A2203" s="40" t="s">
        <v>110</v>
      </c>
      <c r="B2203" s="13">
        <v>0.0</v>
      </c>
      <c r="C2203" s="14"/>
      <c r="D2203" s="16" t="s">
        <v>111</v>
      </c>
      <c r="G2203" s="16" t="s">
        <v>112</v>
      </c>
      <c r="H2203" s="36"/>
      <c r="I2203" s="39" t="s">
        <v>113</v>
      </c>
      <c r="P2203" s="19"/>
    </row>
    <row r="2204">
      <c r="A2204" s="37" t="s">
        <v>114</v>
      </c>
      <c r="B2204" s="38">
        <v>1.0</v>
      </c>
      <c r="C2204" s="14"/>
      <c r="D2204" s="28" t="s">
        <v>92</v>
      </c>
      <c r="E2204" s="25">
        <f>E2193/H2195</f>
        <v>240000</v>
      </c>
      <c r="G2204" s="28" t="s">
        <v>92</v>
      </c>
      <c r="H2204" s="36">
        <f>E2194/H2202</f>
        <v>0</v>
      </c>
      <c r="I2204" s="39" t="s">
        <v>115</v>
      </c>
      <c r="P2204" s="19"/>
    </row>
    <row r="2205">
      <c r="A2205" s="40" t="s">
        <v>116</v>
      </c>
      <c r="B2205" s="13">
        <v>0.0</v>
      </c>
      <c r="C2205" s="14"/>
      <c r="D2205" s="28" t="s">
        <v>94</v>
      </c>
      <c r="E2205" s="25">
        <f>E2193/I2192</f>
        <v>166666.6667</v>
      </c>
      <c r="G2205" s="28" t="s">
        <v>94</v>
      </c>
      <c r="H2205" s="36">
        <f>E2194/I2192</f>
        <v>0</v>
      </c>
      <c r="I2205" s="39" t="s">
        <v>117</v>
      </c>
      <c r="P2205" s="19"/>
    </row>
    <row r="2206">
      <c r="A2206" s="37" t="s">
        <v>118</v>
      </c>
      <c r="B2206" s="38">
        <v>1.0</v>
      </c>
      <c r="C2206" s="14"/>
      <c r="D2206" s="28" t="s">
        <v>96</v>
      </c>
      <c r="E2206" s="25">
        <f>E2205/H2195</f>
        <v>40000</v>
      </c>
      <c r="G2206" s="28" t="s">
        <v>96</v>
      </c>
      <c r="H2206" s="36">
        <f>H2205/H2202</f>
        <v>0</v>
      </c>
      <c r="P2206" s="19"/>
    </row>
    <row r="2207">
      <c r="A2207" s="40" t="s">
        <v>119</v>
      </c>
      <c r="B2207" s="13">
        <v>0.0</v>
      </c>
      <c r="C2207" s="14"/>
      <c r="D2207" s="28" t="s">
        <v>99</v>
      </c>
      <c r="E2207" s="25">
        <f>E2206/12</f>
        <v>3333.333333</v>
      </c>
      <c r="G2207" s="28" t="s">
        <v>99</v>
      </c>
      <c r="H2207" s="36">
        <f>H2206/12</f>
        <v>0</v>
      </c>
      <c r="P2207" s="19"/>
    </row>
    <row r="2208">
      <c r="A2208" s="37" t="s">
        <v>120</v>
      </c>
      <c r="B2208" s="38">
        <v>1.0</v>
      </c>
      <c r="C2208" s="14"/>
      <c r="D2208" s="28" t="s">
        <v>101</v>
      </c>
      <c r="E2208" s="25">
        <f>E2207*5</f>
        <v>16666.66667</v>
      </c>
      <c r="G2208" s="28" t="s">
        <v>101</v>
      </c>
      <c r="H2208" s="36">
        <f>H2207*5</f>
        <v>0</v>
      </c>
      <c r="P2208" s="19"/>
    </row>
    <row r="2209">
      <c r="A2209" s="40" t="s">
        <v>121</v>
      </c>
      <c r="B2209" s="13">
        <v>0.0</v>
      </c>
      <c r="C2209" s="14"/>
      <c r="D2209" s="28" t="s">
        <v>104</v>
      </c>
      <c r="E2209" s="25">
        <f>E2207*6</f>
        <v>20000</v>
      </c>
      <c r="G2209" s="28" t="s">
        <v>104</v>
      </c>
      <c r="H2209" s="36">
        <f>H2207*6</f>
        <v>0</v>
      </c>
      <c r="P2209" s="19"/>
    </row>
    <row r="2210">
      <c r="A2210" s="37" t="s">
        <v>122</v>
      </c>
      <c r="B2210" s="38">
        <v>1.0</v>
      </c>
      <c r="C2210" s="14"/>
      <c r="P2210" s="19"/>
    </row>
    <row r="2211">
      <c r="A2211" s="40" t="s">
        <v>123</v>
      </c>
      <c r="B2211" s="13">
        <v>0.0</v>
      </c>
      <c r="C2211" s="14"/>
      <c r="D2211" s="28" t="s">
        <v>124</v>
      </c>
      <c r="E2211" s="41"/>
      <c r="F2211" s="41"/>
      <c r="P2211" s="19"/>
    </row>
    <row r="2212">
      <c r="A2212" s="37" t="s">
        <v>125</v>
      </c>
      <c r="B2212" s="38">
        <v>1.0</v>
      </c>
      <c r="C2212" s="14"/>
      <c r="D2212" s="4" t="s">
        <v>126</v>
      </c>
      <c r="E2212" s="25">
        <f t="shared" ref="E2212:E2215" si="382">H2206-E2206</f>
        <v>-40000</v>
      </c>
      <c r="P2212" s="19"/>
    </row>
    <row r="2213">
      <c r="A2213" s="42" t="s">
        <v>127</v>
      </c>
      <c r="C2213" s="14"/>
      <c r="D2213" s="4" t="s">
        <v>128</v>
      </c>
      <c r="E2213" s="25">
        <f t="shared" si="382"/>
        <v>-3333.333333</v>
      </c>
      <c r="P2213" s="19"/>
    </row>
    <row r="2214">
      <c r="A2214" s="32"/>
      <c r="C2214" s="14"/>
      <c r="D2214" s="4" t="s">
        <v>129</v>
      </c>
      <c r="E2214" s="25">
        <f t="shared" si="382"/>
        <v>-16666.66667</v>
      </c>
      <c r="G2214" s="43"/>
      <c r="P2214" s="19"/>
    </row>
    <row r="2215">
      <c r="A2215" s="32"/>
      <c r="C2215" s="14"/>
      <c r="D2215" s="4" t="s">
        <v>130</v>
      </c>
      <c r="E2215" s="25">
        <f t="shared" si="382"/>
        <v>-20000</v>
      </c>
      <c r="P2215" s="19"/>
    </row>
    <row r="2216">
      <c r="A2216" s="24"/>
      <c r="C2216" s="14"/>
      <c r="D2216" s="28" t="s">
        <v>131</v>
      </c>
      <c r="P2216" s="19"/>
    </row>
    <row r="2217">
      <c r="A2217" s="32"/>
      <c r="C2217" s="14"/>
      <c r="D2217" s="4" t="s">
        <v>132</v>
      </c>
      <c r="E2217" s="25">
        <f t="shared" ref="E2217:E2220" si="383">H2206-E2198</f>
        <v>-36363.63636</v>
      </c>
      <c r="P2217" s="19"/>
    </row>
    <row r="2218">
      <c r="A2218" s="32"/>
      <c r="C2218" s="14"/>
      <c r="D2218" s="4" t="s">
        <v>133</v>
      </c>
      <c r="E2218" s="25">
        <f t="shared" si="383"/>
        <v>-3030.30303</v>
      </c>
      <c r="G2218" s="28" t="s">
        <v>134</v>
      </c>
      <c r="I2218" s="35" t="s">
        <v>135</v>
      </c>
      <c r="J2218" s="35" t="s">
        <v>82</v>
      </c>
      <c r="P2218" s="19"/>
    </row>
    <row r="2219">
      <c r="A2219" s="32"/>
      <c r="C2219" s="14"/>
      <c r="D2219" s="4" t="s">
        <v>136</v>
      </c>
      <c r="E2219" s="25">
        <f t="shared" si="383"/>
        <v>-15151.51515</v>
      </c>
      <c r="G2219" s="35" t="s">
        <v>137</v>
      </c>
      <c r="H2219" s="25" t="str">
        <f>(E2192/H2204)-(25/60)</f>
        <v>#DIV/0!</v>
      </c>
      <c r="I2219" s="25" t="str">
        <f t="shared" ref="I2219:I2220" si="384">INT(H2219)</f>
        <v>#DIV/0!</v>
      </c>
      <c r="J2219" s="36" t="str">
        <f t="shared" ref="J2219:J2220" si="385">INT((H2219-I2219)*60)</f>
        <v>#DIV/0!</v>
      </c>
      <c r="P2219" s="19"/>
    </row>
    <row r="2220">
      <c r="A2220" s="44"/>
      <c r="B2220" s="45"/>
      <c r="C2220" s="46"/>
      <c r="D2220" s="47" t="s">
        <v>138</v>
      </c>
      <c r="E2220" s="45">
        <f t="shared" si="383"/>
        <v>-18181.81818</v>
      </c>
      <c r="F2220" s="45"/>
      <c r="G2220" s="48" t="s">
        <v>139</v>
      </c>
      <c r="H2220" s="45" t="str">
        <f>H2192-H2219</f>
        <v>#DIV/0!</v>
      </c>
      <c r="I2220" s="45" t="str">
        <f t="shared" si="384"/>
        <v>#DIV/0!</v>
      </c>
      <c r="J2220" s="49" t="str">
        <f t="shared" si="385"/>
        <v>#DIV/0!</v>
      </c>
      <c r="K2220" s="45"/>
      <c r="L2220" s="45"/>
      <c r="M2220" s="45"/>
      <c r="N2220" s="45"/>
      <c r="O2220" s="45"/>
      <c r="P2220" s="50"/>
    </row>
    <row r="2221">
      <c r="A2221" s="51"/>
      <c r="B2221" s="51"/>
      <c r="D2221" s="51"/>
    </row>
    <row r="2222">
      <c r="D2222" s="51"/>
      <c r="I2222" s="51"/>
    </row>
    <row r="2223">
      <c r="D2223" s="51"/>
      <c r="I2223" s="51"/>
    </row>
    <row r="2224">
      <c r="A2224" s="51"/>
      <c r="D2224" s="51"/>
      <c r="G2224" s="51"/>
    </row>
    <row r="2225">
      <c r="A2225" s="51"/>
      <c r="G2225" s="51"/>
    </row>
    <row r="2226">
      <c r="A2226" s="51"/>
      <c r="D2226" s="51"/>
      <c r="G2226" s="51"/>
    </row>
    <row r="2227">
      <c r="A2227" s="51"/>
      <c r="D2227" s="51"/>
      <c r="G2227" s="51"/>
    </row>
    <row r="2228">
      <c r="A2228" s="51"/>
      <c r="D2228" s="51"/>
      <c r="G2228" s="51"/>
    </row>
    <row r="2229">
      <c r="A2229" s="51"/>
      <c r="D2229" s="51"/>
      <c r="G2229" s="51"/>
    </row>
    <row r="2230">
      <c r="A2230" s="6" t="s">
        <v>70</v>
      </c>
      <c r="B2230" s="52"/>
      <c r="C2230" s="8"/>
      <c r="D2230" s="9" t="s">
        <v>71</v>
      </c>
      <c r="E2230" s="10"/>
      <c r="F2230" s="10"/>
      <c r="G2230" s="10"/>
      <c r="H2230" s="10"/>
      <c r="I2230" s="10"/>
      <c r="J2230" s="10"/>
      <c r="K2230" s="9"/>
      <c r="L2230" s="10"/>
      <c r="M2230" s="10"/>
      <c r="N2230" s="10"/>
      <c r="O2230" s="10"/>
      <c r="P2230" s="11"/>
    </row>
    <row r="2231">
      <c r="A2231" s="12" t="s">
        <v>72</v>
      </c>
      <c r="B2231" s="13">
        <v>1000000.0</v>
      </c>
      <c r="C2231" s="14"/>
      <c r="D2231" s="53" t="str">
        <f>B2230</f>
        <v/>
      </c>
      <c r="E2231" s="16" t="s">
        <v>73</v>
      </c>
      <c r="F2231" s="17"/>
      <c r="G2231" s="16" t="s">
        <v>74</v>
      </c>
      <c r="H2231" s="16" t="s">
        <v>75</v>
      </c>
      <c r="I2231" s="16" t="s">
        <v>76</v>
      </c>
      <c r="J2231" s="18" t="s">
        <v>77</v>
      </c>
      <c r="P2231" s="19"/>
    </row>
    <row r="2232">
      <c r="A2232" s="12" t="s">
        <v>78</v>
      </c>
      <c r="B2232" s="13">
        <v>1000000.0</v>
      </c>
      <c r="C2232" s="14"/>
      <c r="D2232" s="20" t="s">
        <v>72</v>
      </c>
      <c r="E2232" s="21">
        <f t="shared" ref="E2232:E2233" si="386">B2231</f>
        <v>1000000</v>
      </c>
      <c r="F2232" s="20" t="s">
        <v>79</v>
      </c>
      <c r="G2232" s="21">
        <f t="shared" ref="G2232:G2233" si="387">B2234</f>
        <v>4</v>
      </c>
      <c r="H2232" s="4">
        <f>G2232+(G2233/60)</f>
        <v>4.166666667</v>
      </c>
      <c r="I2232" s="21">
        <f>B2239</f>
        <v>6</v>
      </c>
      <c r="J2232" s="22" t="s">
        <v>80</v>
      </c>
      <c r="K2232" s="23">
        <f>B2241/B2242</f>
        <v>0</v>
      </c>
      <c r="P2232" s="19"/>
    </row>
    <row r="2233">
      <c r="A2233" s="12" t="s">
        <v>81</v>
      </c>
      <c r="B2233" s="14"/>
      <c r="C2233" s="14"/>
      <c r="D2233" s="20" t="s">
        <v>78</v>
      </c>
      <c r="E2233" s="21">
        <f t="shared" si="386"/>
        <v>1000000</v>
      </c>
      <c r="F2233" s="20" t="s">
        <v>82</v>
      </c>
      <c r="G2233" s="21">
        <f t="shared" si="387"/>
        <v>10</v>
      </c>
      <c r="J2233" s="22" t="s">
        <v>83</v>
      </c>
      <c r="K2233" s="23">
        <f>B2243/B2244</f>
        <v>0</v>
      </c>
      <c r="P2233" s="19"/>
    </row>
    <row r="2234">
      <c r="A2234" s="24" t="s">
        <v>79</v>
      </c>
      <c r="B2234" s="13">
        <v>4.0</v>
      </c>
      <c r="C2234" s="14"/>
      <c r="D2234" s="20" t="s">
        <v>84</v>
      </c>
      <c r="E2234" s="25">
        <f>E2232-E2233</f>
        <v>0</v>
      </c>
      <c r="F2234" s="26"/>
      <c r="G2234" s="16" t="s">
        <v>85</v>
      </c>
      <c r="H2234" s="16" t="s">
        <v>86</v>
      </c>
      <c r="I2234" s="16" t="s">
        <v>87</v>
      </c>
      <c r="J2234" s="22" t="s">
        <v>88</v>
      </c>
      <c r="K2234" s="23">
        <f>B2245/B2246</f>
        <v>0</v>
      </c>
      <c r="P2234" s="19"/>
    </row>
    <row r="2235">
      <c r="A2235" s="24" t="s">
        <v>89</v>
      </c>
      <c r="B2235" s="13">
        <v>10.0</v>
      </c>
      <c r="C2235" s="14"/>
      <c r="D2235" s="16" t="s">
        <v>90</v>
      </c>
      <c r="F2235" s="20" t="s">
        <v>79</v>
      </c>
      <c r="G2235" s="21">
        <f t="shared" ref="G2235:G2236" si="388">B2237</f>
        <v>4</v>
      </c>
      <c r="H2235" s="25">
        <f>G2235+(G2236/60)</f>
        <v>4.166666667</v>
      </c>
      <c r="I2235" s="25">
        <f>H2232-H2235</f>
        <v>0</v>
      </c>
      <c r="J2235" s="22" t="s">
        <v>91</v>
      </c>
      <c r="K2235" s="23">
        <f>B2247/B2248</f>
        <v>0</v>
      </c>
      <c r="P2235" s="19"/>
    </row>
    <row r="2236">
      <c r="A2236" s="12" t="s">
        <v>85</v>
      </c>
      <c r="B2236" s="27"/>
      <c r="C2236" s="14"/>
      <c r="D2236" s="28" t="s">
        <v>92</v>
      </c>
      <c r="E2236" s="25">
        <f>E2232/H2241</f>
        <v>218181.8182</v>
      </c>
      <c r="F2236" s="20" t="s">
        <v>82</v>
      </c>
      <c r="G2236" s="21">
        <f t="shared" si="388"/>
        <v>10</v>
      </c>
      <c r="J2236" s="22" t="s">
        <v>93</v>
      </c>
      <c r="K2236" s="23">
        <f>B2249/B2250</f>
        <v>0</v>
      </c>
      <c r="P2236" s="19"/>
    </row>
    <row r="2237">
      <c r="A2237" s="24" t="s">
        <v>79</v>
      </c>
      <c r="B2237" s="13">
        <v>4.0</v>
      </c>
      <c r="C2237" s="14"/>
      <c r="D2237" s="28" t="s">
        <v>94</v>
      </c>
      <c r="E2237" s="25">
        <f>E2232/I2232</f>
        <v>166666.6667</v>
      </c>
      <c r="J2237" s="22" t="s">
        <v>95</v>
      </c>
      <c r="K2237" s="23">
        <f>B2251/B2252</f>
        <v>0</v>
      </c>
      <c r="P2237" s="19"/>
    </row>
    <row r="2238">
      <c r="A2238" s="24" t="s">
        <v>89</v>
      </c>
      <c r="B2238" s="13">
        <v>10.0</v>
      </c>
      <c r="C2238" s="14"/>
      <c r="D2238" s="28" t="s">
        <v>96</v>
      </c>
      <c r="E2238" s="25">
        <f>E2236/I2232</f>
        <v>36363.63636</v>
      </c>
      <c r="J2238" s="29" t="s">
        <v>97</v>
      </c>
      <c r="K2238" s="30">
        <f>SUM(K2232:K2237)</f>
        <v>0</v>
      </c>
      <c r="P2238" s="19"/>
    </row>
    <row r="2239">
      <c r="A2239" s="12" t="s">
        <v>98</v>
      </c>
      <c r="B2239" s="13">
        <v>6.0</v>
      </c>
      <c r="C2239" s="14"/>
      <c r="D2239" s="28" t="s">
        <v>99</v>
      </c>
      <c r="E2239" s="31">
        <f>E2238/12</f>
        <v>3030.30303</v>
      </c>
      <c r="I2239" s="29"/>
      <c r="J2239" s="29" t="s">
        <v>100</v>
      </c>
      <c r="K2239" s="30">
        <f>H2249</f>
        <v>0</v>
      </c>
      <c r="P2239" s="19"/>
    </row>
    <row r="2240">
      <c r="A2240" s="32"/>
      <c r="B2240" s="14"/>
      <c r="C2240" s="14"/>
      <c r="D2240" s="28" t="s">
        <v>101</v>
      </c>
      <c r="E2240" s="25">
        <f>E2239*5</f>
        <v>15151.51515</v>
      </c>
      <c r="J2240" s="29" t="s">
        <v>102</v>
      </c>
      <c r="K2240" s="30">
        <f>E2241</f>
        <v>18181.81818</v>
      </c>
      <c r="P2240" s="19"/>
    </row>
    <row r="2241">
      <c r="A2241" s="33" t="s">
        <v>103</v>
      </c>
      <c r="B2241" s="34">
        <v>0.0</v>
      </c>
      <c r="C2241" s="14"/>
      <c r="D2241" s="28" t="s">
        <v>104</v>
      </c>
      <c r="E2241" s="25">
        <f>E2239*6</f>
        <v>18181.81818</v>
      </c>
      <c r="G2241" s="35" t="s">
        <v>105</v>
      </c>
      <c r="H2241" s="36">
        <f>H2232+(25/60)</f>
        <v>4.583333333</v>
      </c>
      <c r="J2241" s="29" t="s">
        <v>106</v>
      </c>
      <c r="K2241" s="30">
        <f>E2249</f>
        <v>20000</v>
      </c>
      <c r="P2241" s="19"/>
    </row>
    <row r="2242">
      <c r="A2242" s="37" t="s">
        <v>107</v>
      </c>
      <c r="B2242" s="38">
        <v>1.0</v>
      </c>
      <c r="C2242" s="14"/>
      <c r="G2242" s="35" t="s">
        <v>108</v>
      </c>
      <c r="H2242" s="36">
        <f>I2235+(25/60)</f>
        <v>0.4166666667</v>
      </c>
      <c r="I2242" s="39" t="s">
        <v>109</v>
      </c>
      <c r="P2242" s="19"/>
    </row>
    <row r="2243">
      <c r="A2243" s="40" t="s">
        <v>110</v>
      </c>
      <c r="B2243" s="13">
        <v>0.0</v>
      </c>
      <c r="C2243" s="14"/>
      <c r="D2243" s="16" t="s">
        <v>111</v>
      </c>
      <c r="G2243" s="16" t="s">
        <v>112</v>
      </c>
      <c r="H2243" s="36"/>
      <c r="I2243" s="39" t="s">
        <v>113</v>
      </c>
      <c r="P2243" s="19"/>
    </row>
    <row r="2244">
      <c r="A2244" s="37" t="s">
        <v>114</v>
      </c>
      <c r="B2244" s="38">
        <v>1.0</v>
      </c>
      <c r="C2244" s="14"/>
      <c r="D2244" s="28" t="s">
        <v>92</v>
      </c>
      <c r="E2244" s="25">
        <f>E2233/H2235</f>
        <v>240000</v>
      </c>
      <c r="G2244" s="28" t="s">
        <v>92</v>
      </c>
      <c r="H2244" s="36">
        <f>E2234/H2242</f>
        <v>0</v>
      </c>
      <c r="I2244" s="39" t="s">
        <v>115</v>
      </c>
      <c r="P2244" s="19"/>
    </row>
    <row r="2245">
      <c r="A2245" s="40" t="s">
        <v>116</v>
      </c>
      <c r="B2245" s="13">
        <v>0.0</v>
      </c>
      <c r="C2245" s="14"/>
      <c r="D2245" s="28" t="s">
        <v>94</v>
      </c>
      <c r="E2245" s="25">
        <f>E2233/I2232</f>
        <v>166666.6667</v>
      </c>
      <c r="G2245" s="28" t="s">
        <v>94</v>
      </c>
      <c r="H2245" s="36">
        <f>E2234/I2232</f>
        <v>0</v>
      </c>
      <c r="I2245" s="39" t="s">
        <v>117</v>
      </c>
      <c r="P2245" s="19"/>
    </row>
    <row r="2246">
      <c r="A2246" s="37" t="s">
        <v>118</v>
      </c>
      <c r="B2246" s="38">
        <v>1.0</v>
      </c>
      <c r="C2246" s="14"/>
      <c r="D2246" s="28" t="s">
        <v>96</v>
      </c>
      <c r="E2246" s="25">
        <f>E2245/H2235</f>
        <v>40000</v>
      </c>
      <c r="G2246" s="28" t="s">
        <v>96</v>
      </c>
      <c r="H2246" s="36">
        <f>H2245/H2242</f>
        <v>0</v>
      </c>
      <c r="P2246" s="19"/>
    </row>
    <row r="2247">
      <c r="A2247" s="40" t="s">
        <v>119</v>
      </c>
      <c r="B2247" s="13">
        <v>0.0</v>
      </c>
      <c r="C2247" s="14"/>
      <c r="D2247" s="28" t="s">
        <v>99</v>
      </c>
      <c r="E2247" s="25">
        <f>E2246/12</f>
        <v>3333.333333</v>
      </c>
      <c r="G2247" s="28" t="s">
        <v>99</v>
      </c>
      <c r="H2247" s="36">
        <f>H2246/12</f>
        <v>0</v>
      </c>
      <c r="P2247" s="19"/>
    </row>
    <row r="2248">
      <c r="A2248" s="37" t="s">
        <v>120</v>
      </c>
      <c r="B2248" s="38">
        <v>1.0</v>
      </c>
      <c r="C2248" s="14"/>
      <c r="D2248" s="28" t="s">
        <v>101</v>
      </c>
      <c r="E2248" s="25">
        <f>E2247*5</f>
        <v>16666.66667</v>
      </c>
      <c r="G2248" s="28" t="s">
        <v>101</v>
      </c>
      <c r="H2248" s="36">
        <f>H2247*5</f>
        <v>0</v>
      </c>
      <c r="P2248" s="19"/>
    </row>
    <row r="2249">
      <c r="A2249" s="40" t="s">
        <v>121</v>
      </c>
      <c r="B2249" s="13">
        <v>0.0</v>
      </c>
      <c r="C2249" s="14"/>
      <c r="D2249" s="28" t="s">
        <v>104</v>
      </c>
      <c r="E2249" s="25">
        <f>E2247*6</f>
        <v>20000</v>
      </c>
      <c r="G2249" s="28" t="s">
        <v>104</v>
      </c>
      <c r="H2249" s="36">
        <f>H2247*6</f>
        <v>0</v>
      </c>
      <c r="P2249" s="19"/>
    </row>
    <row r="2250">
      <c r="A2250" s="37" t="s">
        <v>122</v>
      </c>
      <c r="B2250" s="38">
        <v>1.0</v>
      </c>
      <c r="C2250" s="14"/>
      <c r="P2250" s="19"/>
    </row>
    <row r="2251">
      <c r="A2251" s="40" t="s">
        <v>123</v>
      </c>
      <c r="B2251" s="13">
        <v>0.0</v>
      </c>
      <c r="C2251" s="14"/>
      <c r="D2251" s="28" t="s">
        <v>124</v>
      </c>
      <c r="E2251" s="41"/>
      <c r="F2251" s="41"/>
      <c r="P2251" s="19"/>
    </row>
    <row r="2252">
      <c r="A2252" s="37" t="s">
        <v>125</v>
      </c>
      <c r="B2252" s="38">
        <v>1.0</v>
      </c>
      <c r="C2252" s="14"/>
      <c r="D2252" s="4" t="s">
        <v>126</v>
      </c>
      <c r="E2252" s="25">
        <f t="shared" ref="E2252:E2255" si="389">H2246-E2246</f>
        <v>-40000</v>
      </c>
      <c r="P2252" s="19"/>
    </row>
    <row r="2253">
      <c r="A2253" s="42" t="s">
        <v>127</v>
      </c>
      <c r="C2253" s="14"/>
      <c r="D2253" s="4" t="s">
        <v>128</v>
      </c>
      <c r="E2253" s="25">
        <f t="shared" si="389"/>
        <v>-3333.333333</v>
      </c>
      <c r="P2253" s="19"/>
    </row>
    <row r="2254">
      <c r="A2254" s="32"/>
      <c r="C2254" s="14"/>
      <c r="D2254" s="4" t="s">
        <v>129</v>
      </c>
      <c r="E2254" s="25">
        <f t="shared" si="389"/>
        <v>-16666.66667</v>
      </c>
      <c r="G2254" s="43"/>
      <c r="P2254" s="19"/>
    </row>
    <row r="2255">
      <c r="A2255" s="32"/>
      <c r="C2255" s="14"/>
      <c r="D2255" s="4" t="s">
        <v>130</v>
      </c>
      <c r="E2255" s="25">
        <f t="shared" si="389"/>
        <v>-20000</v>
      </c>
      <c r="P2255" s="19"/>
    </row>
    <row r="2256">
      <c r="A2256" s="24"/>
      <c r="C2256" s="14"/>
      <c r="D2256" s="28" t="s">
        <v>131</v>
      </c>
      <c r="P2256" s="19"/>
    </row>
    <row r="2257">
      <c r="A2257" s="32"/>
      <c r="C2257" s="14"/>
      <c r="D2257" s="4" t="s">
        <v>132</v>
      </c>
      <c r="E2257" s="25">
        <f t="shared" ref="E2257:E2260" si="390">H2246-E2238</f>
        <v>-36363.63636</v>
      </c>
      <c r="P2257" s="19"/>
    </row>
    <row r="2258">
      <c r="A2258" s="32"/>
      <c r="C2258" s="14"/>
      <c r="D2258" s="4" t="s">
        <v>133</v>
      </c>
      <c r="E2258" s="25">
        <f t="shared" si="390"/>
        <v>-3030.30303</v>
      </c>
      <c r="G2258" s="28" t="s">
        <v>134</v>
      </c>
      <c r="I2258" s="35" t="s">
        <v>135</v>
      </c>
      <c r="J2258" s="35" t="s">
        <v>82</v>
      </c>
      <c r="P2258" s="19"/>
    </row>
    <row r="2259">
      <c r="A2259" s="32"/>
      <c r="C2259" s="14"/>
      <c r="D2259" s="4" t="s">
        <v>136</v>
      </c>
      <c r="E2259" s="25">
        <f t="shared" si="390"/>
        <v>-15151.51515</v>
      </c>
      <c r="G2259" s="35" t="s">
        <v>137</v>
      </c>
      <c r="H2259" s="25" t="str">
        <f>(E2232/H2244)-(25/60)</f>
        <v>#DIV/0!</v>
      </c>
      <c r="I2259" s="25" t="str">
        <f t="shared" ref="I2259:I2260" si="391">INT(H2259)</f>
        <v>#DIV/0!</v>
      </c>
      <c r="J2259" s="36" t="str">
        <f t="shared" ref="J2259:J2260" si="392">INT((H2259-I2259)*60)</f>
        <v>#DIV/0!</v>
      </c>
      <c r="P2259" s="19"/>
    </row>
    <row r="2260">
      <c r="A2260" s="44"/>
      <c r="B2260" s="45"/>
      <c r="C2260" s="46"/>
      <c r="D2260" s="47" t="s">
        <v>138</v>
      </c>
      <c r="E2260" s="45">
        <f t="shared" si="390"/>
        <v>-18181.81818</v>
      </c>
      <c r="F2260" s="45"/>
      <c r="G2260" s="48" t="s">
        <v>139</v>
      </c>
      <c r="H2260" s="45" t="str">
        <f>H2232-H2259</f>
        <v>#DIV/0!</v>
      </c>
      <c r="I2260" s="45" t="str">
        <f t="shared" si="391"/>
        <v>#DIV/0!</v>
      </c>
      <c r="J2260" s="49" t="str">
        <f t="shared" si="392"/>
        <v>#DIV/0!</v>
      </c>
      <c r="K2260" s="45"/>
      <c r="L2260" s="45"/>
      <c r="M2260" s="45"/>
      <c r="N2260" s="45"/>
      <c r="O2260" s="45"/>
      <c r="P2260" s="50"/>
    </row>
    <row r="2261">
      <c r="A2261" s="51"/>
      <c r="D2261" s="51"/>
      <c r="G2261" s="51"/>
    </row>
    <row r="2262">
      <c r="A2262" s="51"/>
    </row>
    <row r="2263">
      <c r="A2263" s="51"/>
      <c r="D2263" s="51"/>
    </row>
    <row r="2264">
      <c r="A2264" s="51"/>
    </row>
    <row r="2265">
      <c r="A2265" s="51"/>
      <c r="G2265" s="51"/>
    </row>
    <row r="2267">
      <c r="D2267" s="51"/>
    </row>
    <row r="2270">
      <c r="A2270" s="6" t="s">
        <v>70</v>
      </c>
      <c r="B2270" s="52"/>
      <c r="C2270" s="8"/>
      <c r="D2270" s="9" t="s">
        <v>71</v>
      </c>
      <c r="E2270" s="10"/>
      <c r="F2270" s="10"/>
      <c r="G2270" s="10"/>
      <c r="H2270" s="10"/>
      <c r="I2270" s="10"/>
      <c r="J2270" s="10"/>
      <c r="K2270" s="9"/>
      <c r="L2270" s="10"/>
      <c r="M2270" s="10"/>
      <c r="N2270" s="10"/>
      <c r="O2270" s="10"/>
      <c r="P2270" s="11"/>
    </row>
    <row r="2271">
      <c r="A2271" s="12" t="s">
        <v>72</v>
      </c>
      <c r="B2271" s="13">
        <v>1000000.0</v>
      </c>
      <c r="C2271" s="14"/>
      <c r="D2271" s="53" t="str">
        <f>B2270</f>
        <v/>
      </c>
      <c r="E2271" s="16" t="s">
        <v>73</v>
      </c>
      <c r="F2271" s="17"/>
      <c r="G2271" s="16" t="s">
        <v>74</v>
      </c>
      <c r="H2271" s="16" t="s">
        <v>75</v>
      </c>
      <c r="I2271" s="16" t="s">
        <v>76</v>
      </c>
      <c r="J2271" s="18" t="s">
        <v>77</v>
      </c>
      <c r="P2271" s="19"/>
    </row>
    <row r="2272">
      <c r="A2272" s="12" t="s">
        <v>78</v>
      </c>
      <c r="B2272" s="13">
        <v>1000000.0</v>
      </c>
      <c r="C2272" s="14"/>
      <c r="D2272" s="20" t="s">
        <v>72</v>
      </c>
      <c r="E2272" s="21">
        <f t="shared" ref="E2272:E2273" si="393">B2271</f>
        <v>1000000</v>
      </c>
      <c r="F2272" s="20" t="s">
        <v>79</v>
      </c>
      <c r="G2272" s="21">
        <f t="shared" ref="G2272:G2273" si="394">B2274</f>
        <v>4</v>
      </c>
      <c r="H2272" s="4">
        <f>G2272+(G2273/60)</f>
        <v>4.166666667</v>
      </c>
      <c r="I2272" s="21">
        <f>B2279</f>
        <v>6</v>
      </c>
      <c r="J2272" s="22" t="s">
        <v>80</v>
      </c>
      <c r="K2272" s="23">
        <f>B2281/B2282</f>
        <v>0</v>
      </c>
      <c r="P2272" s="19"/>
    </row>
    <row r="2273">
      <c r="A2273" s="12" t="s">
        <v>81</v>
      </c>
      <c r="B2273" s="14"/>
      <c r="C2273" s="14"/>
      <c r="D2273" s="20" t="s">
        <v>78</v>
      </c>
      <c r="E2273" s="21">
        <f t="shared" si="393"/>
        <v>1000000</v>
      </c>
      <c r="F2273" s="20" t="s">
        <v>82</v>
      </c>
      <c r="G2273" s="21">
        <f t="shared" si="394"/>
        <v>10</v>
      </c>
      <c r="J2273" s="22" t="s">
        <v>83</v>
      </c>
      <c r="K2273" s="23">
        <f>B2283/B2284</f>
        <v>0</v>
      </c>
      <c r="P2273" s="19"/>
    </row>
    <row r="2274">
      <c r="A2274" s="24" t="s">
        <v>79</v>
      </c>
      <c r="B2274" s="13">
        <v>4.0</v>
      </c>
      <c r="C2274" s="14"/>
      <c r="D2274" s="20" t="s">
        <v>84</v>
      </c>
      <c r="E2274" s="25">
        <f>E2272-E2273</f>
        <v>0</v>
      </c>
      <c r="F2274" s="26"/>
      <c r="G2274" s="16" t="s">
        <v>85</v>
      </c>
      <c r="H2274" s="16" t="s">
        <v>86</v>
      </c>
      <c r="I2274" s="16" t="s">
        <v>87</v>
      </c>
      <c r="J2274" s="22" t="s">
        <v>88</v>
      </c>
      <c r="K2274" s="23">
        <f>B2285/B2286</f>
        <v>0</v>
      </c>
      <c r="P2274" s="19"/>
    </row>
    <row r="2275">
      <c r="A2275" s="24" t="s">
        <v>89</v>
      </c>
      <c r="B2275" s="13">
        <v>10.0</v>
      </c>
      <c r="C2275" s="14"/>
      <c r="D2275" s="16" t="s">
        <v>90</v>
      </c>
      <c r="F2275" s="20" t="s">
        <v>79</v>
      </c>
      <c r="G2275" s="21">
        <f t="shared" ref="G2275:G2276" si="395">B2277</f>
        <v>4</v>
      </c>
      <c r="H2275" s="25">
        <f>G2275+(G2276/60)</f>
        <v>4.166666667</v>
      </c>
      <c r="I2275" s="25">
        <f>H2272-H2275</f>
        <v>0</v>
      </c>
      <c r="J2275" s="22" t="s">
        <v>91</v>
      </c>
      <c r="K2275" s="23">
        <f>B2287/B2288</f>
        <v>0</v>
      </c>
      <c r="P2275" s="19"/>
    </row>
    <row r="2276">
      <c r="A2276" s="12" t="s">
        <v>85</v>
      </c>
      <c r="B2276" s="27"/>
      <c r="C2276" s="14"/>
      <c r="D2276" s="28" t="s">
        <v>92</v>
      </c>
      <c r="E2276" s="25">
        <f>E2272/H2281</f>
        <v>218181.8182</v>
      </c>
      <c r="F2276" s="20" t="s">
        <v>82</v>
      </c>
      <c r="G2276" s="21">
        <f t="shared" si="395"/>
        <v>10</v>
      </c>
      <c r="J2276" s="22" t="s">
        <v>93</v>
      </c>
      <c r="K2276" s="23">
        <f>B2289/B2290</f>
        <v>0</v>
      </c>
      <c r="P2276" s="19"/>
    </row>
    <row r="2277">
      <c r="A2277" s="24" t="s">
        <v>79</v>
      </c>
      <c r="B2277" s="13">
        <v>4.0</v>
      </c>
      <c r="C2277" s="14"/>
      <c r="D2277" s="28" t="s">
        <v>94</v>
      </c>
      <c r="E2277" s="25">
        <f>E2272/I2272</f>
        <v>166666.6667</v>
      </c>
      <c r="J2277" s="22" t="s">
        <v>95</v>
      </c>
      <c r="K2277" s="23">
        <f>B2291/B2292</f>
        <v>0</v>
      </c>
      <c r="P2277" s="19"/>
    </row>
    <row r="2278">
      <c r="A2278" s="24" t="s">
        <v>89</v>
      </c>
      <c r="B2278" s="13">
        <v>10.0</v>
      </c>
      <c r="C2278" s="14"/>
      <c r="D2278" s="28" t="s">
        <v>96</v>
      </c>
      <c r="E2278" s="25">
        <f>E2276/I2272</f>
        <v>36363.63636</v>
      </c>
      <c r="J2278" s="29" t="s">
        <v>97</v>
      </c>
      <c r="K2278" s="30">
        <f>SUM(K2272:K2277)</f>
        <v>0</v>
      </c>
      <c r="P2278" s="19"/>
    </row>
    <row r="2279">
      <c r="A2279" s="12" t="s">
        <v>98</v>
      </c>
      <c r="B2279" s="13">
        <v>6.0</v>
      </c>
      <c r="C2279" s="14"/>
      <c r="D2279" s="28" t="s">
        <v>99</v>
      </c>
      <c r="E2279" s="31">
        <f>E2278/12</f>
        <v>3030.30303</v>
      </c>
      <c r="I2279" s="29"/>
      <c r="J2279" s="29" t="s">
        <v>100</v>
      </c>
      <c r="K2279" s="30">
        <f>H2289</f>
        <v>0</v>
      </c>
      <c r="P2279" s="19"/>
    </row>
    <row r="2280">
      <c r="A2280" s="32"/>
      <c r="B2280" s="14"/>
      <c r="C2280" s="14"/>
      <c r="D2280" s="28" t="s">
        <v>101</v>
      </c>
      <c r="E2280" s="25">
        <f>E2279*5</f>
        <v>15151.51515</v>
      </c>
      <c r="J2280" s="29" t="s">
        <v>102</v>
      </c>
      <c r="K2280" s="30">
        <f>E2281</f>
        <v>18181.81818</v>
      </c>
      <c r="P2280" s="19"/>
    </row>
    <row r="2281">
      <c r="A2281" s="33" t="s">
        <v>103</v>
      </c>
      <c r="B2281" s="34">
        <v>0.0</v>
      </c>
      <c r="C2281" s="14"/>
      <c r="D2281" s="28" t="s">
        <v>104</v>
      </c>
      <c r="E2281" s="25">
        <f>E2279*6</f>
        <v>18181.81818</v>
      </c>
      <c r="G2281" s="35" t="s">
        <v>105</v>
      </c>
      <c r="H2281" s="36">
        <f>H2272+(25/60)</f>
        <v>4.583333333</v>
      </c>
      <c r="J2281" s="29" t="s">
        <v>106</v>
      </c>
      <c r="K2281" s="30">
        <f>E2289</f>
        <v>20000</v>
      </c>
      <c r="P2281" s="19"/>
    </row>
    <row r="2282">
      <c r="A2282" s="37" t="s">
        <v>107</v>
      </c>
      <c r="B2282" s="38">
        <v>1.0</v>
      </c>
      <c r="C2282" s="14"/>
      <c r="G2282" s="35" t="s">
        <v>108</v>
      </c>
      <c r="H2282" s="36">
        <f>I2275+(25/60)</f>
        <v>0.4166666667</v>
      </c>
      <c r="I2282" s="39" t="s">
        <v>109</v>
      </c>
      <c r="P2282" s="19"/>
    </row>
    <row r="2283">
      <c r="A2283" s="40" t="s">
        <v>110</v>
      </c>
      <c r="B2283" s="13">
        <v>0.0</v>
      </c>
      <c r="C2283" s="14"/>
      <c r="D2283" s="16" t="s">
        <v>111</v>
      </c>
      <c r="G2283" s="16" t="s">
        <v>112</v>
      </c>
      <c r="H2283" s="36"/>
      <c r="I2283" s="39" t="s">
        <v>113</v>
      </c>
      <c r="P2283" s="19"/>
    </row>
    <row r="2284">
      <c r="A2284" s="37" t="s">
        <v>114</v>
      </c>
      <c r="B2284" s="38">
        <v>1.0</v>
      </c>
      <c r="C2284" s="14"/>
      <c r="D2284" s="28" t="s">
        <v>92</v>
      </c>
      <c r="E2284" s="25">
        <f>E2273/H2275</f>
        <v>240000</v>
      </c>
      <c r="G2284" s="28" t="s">
        <v>92</v>
      </c>
      <c r="H2284" s="36">
        <f>E2274/H2282</f>
        <v>0</v>
      </c>
      <c r="I2284" s="39" t="s">
        <v>115</v>
      </c>
      <c r="P2284" s="19"/>
    </row>
    <row r="2285">
      <c r="A2285" s="40" t="s">
        <v>116</v>
      </c>
      <c r="B2285" s="13">
        <v>0.0</v>
      </c>
      <c r="C2285" s="14"/>
      <c r="D2285" s="28" t="s">
        <v>94</v>
      </c>
      <c r="E2285" s="25">
        <f>E2273/I2272</f>
        <v>166666.6667</v>
      </c>
      <c r="G2285" s="28" t="s">
        <v>94</v>
      </c>
      <c r="H2285" s="36">
        <f>E2274/I2272</f>
        <v>0</v>
      </c>
      <c r="I2285" s="39" t="s">
        <v>117</v>
      </c>
      <c r="P2285" s="19"/>
    </row>
    <row r="2286">
      <c r="A2286" s="37" t="s">
        <v>118</v>
      </c>
      <c r="B2286" s="38">
        <v>1.0</v>
      </c>
      <c r="C2286" s="14"/>
      <c r="D2286" s="28" t="s">
        <v>96</v>
      </c>
      <c r="E2286" s="25">
        <f>E2285/H2275</f>
        <v>40000</v>
      </c>
      <c r="G2286" s="28" t="s">
        <v>96</v>
      </c>
      <c r="H2286" s="36">
        <f>H2285/H2282</f>
        <v>0</v>
      </c>
      <c r="P2286" s="19"/>
    </row>
    <row r="2287">
      <c r="A2287" s="40" t="s">
        <v>119</v>
      </c>
      <c r="B2287" s="13">
        <v>0.0</v>
      </c>
      <c r="C2287" s="14"/>
      <c r="D2287" s="28" t="s">
        <v>99</v>
      </c>
      <c r="E2287" s="25">
        <f>E2286/12</f>
        <v>3333.333333</v>
      </c>
      <c r="G2287" s="28" t="s">
        <v>99</v>
      </c>
      <c r="H2287" s="36">
        <f>H2286/12</f>
        <v>0</v>
      </c>
      <c r="P2287" s="19"/>
    </row>
    <row r="2288">
      <c r="A2288" s="37" t="s">
        <v>120</v>
      </c>
      <c r="B2288" s="38">
        <v>1.0</v>
      </c>
      <c r="C2288" s="14"/>
      <c r="D2288" s="28" t="s">
        <v>101</v>
      </c>
      <c r="E2288" s="25">
        <f>E2287*5</f>
        <v>16666.66667</v>
      </c>
      <c r="G2288" s="28" t="s">
        <v>101</v>
      </c>
      <c r="H2288" s="36">
        <f>H2287*5</f>
        <v>0</v>
      </c>
      <c r="P2288" s="19"/>
    </row>
    <row r="2289">
      <c r="A2289" s="40" t="s">
        <v>121</v>
      </c>
      <c r="B2289" s="13">
        <v>0.0</v>
      </c>
      <c r="C2289" s="14"/>
      <c r="D2289" s="28" t="s">
        <v>104</v>
      </c>
      <c r="E2289" s="25">
        <f>E2287*6</f>
        <v>20000</v>
      </c>
      <c r="G2289" s="28" t="s">
        <v>104</v>
      </c>
      <c r="H2289" s="36">
        <f>H2287*6</f>
        <v>0</v>
      </c>
      <c r="P2289" s="19"/>
    </row>
    <row r="2290">
      <c r="A2290" s="37" t="s">
        <v>122</v>
      </c>
      <c r="B2290" s="38">
        <v>1.0</v>
      </c>
      <c r="C2290" s="14"/>
      <c r="P2290" s="19"/>
    </row>
    <row r="2291">
      <c r="A2291" s="40" t="s">
        <v>123</v>
      </c>
      <c r="B2291" s="13">
        <v>0.0</v>
      </c>
      <c r="C2291" s="14"/>
      <c r="D2291" s="28" t="s">
        <v>124</v>
      </c>
      <c r="E2291" s="41"/>
      <c r="F2291" s="41"/>
      <c r="P2291" s="19"/>
    </row>
    <row r="2292">
      <c r="A2292" s="37" t="s">
        <v>125</v>
      </c>
      <c r="B2292" s="38">
        <v>1.0</v>
      </c>
      <c r="C2292" s="14"/>
      <c r="D2292" s="4" t="s">
        <v>126</v>
      </c>
      <c r="E2292" s="25">
        <f t="shared" ref="E2292:E2295" si="396">H2286-E2286</f>
        <v>-40000</v>
      </c>
      <c r="P2292" s="19"/>
    </row>
    <row r="2293">
      <c r="A2293" s="42" t="s">
        <v>127</v>
      </c>
      <c r="C2293" s="14"/>
      <c r="D2293" s="4" t="s">
        <v>128</v>
      </c>
      <c r="E2293" s="25">
        <f t="shared" si="396"/>
        <v>-3333.333333</v>
      </c>
      <c r="P2293" s="19"/>
    </row>
    <row r="2294">
      <c r="A2294" s="32"/>
      <c r="C2294" s="14"/>
      <c r="D2294" s="4" t="s">
        <v>129</v>
      </c>
      <c r="E2294" s="25">
        <f t="shared" si="396"/>
        <v>-16666.66667</v>
      </c>
      <c r="G2294" s="43"/>
      <c r="P2294" s="19"/>
    </row>
    <row r="2295">
      <c r="A2295" s="32"/>
      <c r="C2295" s="14"/>
      <c r="D2295" s="4" t="s">
        <v>130</v>
      </c>
      <c r="E2295" s="25">
        <f t="shared" si="396"/>
        <v>-20000</v>
      </c>
      <c r="P2295" s="19"/>
    </row>
    <row r="2296">
      <c r="A2296" s="24"/>
      <c r="C2296" s="14"/>
      <c r="D2296" s="28" t="s">
        <v>131</v>
      </c>
      <c r="P2296" s="19"/>
    </row>
    <row r="2297">
      <c r="A2297" s="32"/>
      <c r="C2297" s="14"/>
      <c r="D2297" s="4" t="s">
        <v>132</v>
      </c>
      <c r="E2297" s="25">
        <f t="shared" ref="E2297:E2300" si="397">H2286-E2278</f>
        <v>-36363.63636</v>
      </c>
      <c r="P2297" s="19"/>
    </row>
    <row r="2298">
      <c r="A2298" s="32"/>
      <c r="C2298" s="14"/>
      <c r="D2298" s="4" t="s">
        <v>133</v>
      </c>
      <c r="E2298" s="25">
        <f t="shared" si="397"/>
        <v>-3030.30303</v>
      </c>
      <c r="G2298" s="28" t="s">
        <v>134</v>
      </c>
      <c r="I2298" s="35" t="s">
        <v>135</v>
      </c>
      <c r="J2298" s="35" t="s">
        <v>82</v>
      </c>
      <c r="P2298" s="19"/>
    </row>
    <row r="2299">
      <c r="A2299" s="32"/>
      <c r="C2299" s="14"/>
      <c r="D2299" s="4" t="s">
        <v>136</v>
      </c>
      <c r="E2299" s="25">
        <f t="shared" si="397"/>
        <v>-15151.51515</v>
      </c>
      <c r="G2299" s="35" t="s">
        <v>137</v>
      </c>
      <c r="H2299" s="25" t="str">
        <f>(E2272/H2284)-(25/60)</f>
        <v>#DIV/0!</v>
      </c>
      <c r="I2299" s="25" t="str">
        <f t="shared" ref="I2299:I2300" si="398">INT(H2299)</f>
        <v>#DIV/0!</v>
      </c>
      <c r="J2299" s="36" t="str">
        <f t="shared" ref="J2299:J2300" si="399">INT((H2299-I2299)*60)</f>
        <v>#DIV/0!</v>
      </c>
      <c r="P2299" s="19"/>
    </row>
    <row r="2300">
      <c r="A2300" s="44"/>
      <c r="B2300" s="45"/>
      <c r="C2300" s="46"/>
      <c r="D2300" s="47" t="s">
        <v>138</v>
      </c>
      <c r="E2300" s="45">
        <f t="shared" si="397"/>
        <v>-18181.81818</v>
      </c>
      <c r="F2300" s="45"/>
      <c r="G2300" s="48" t="s">
        <v>139</v>
      </c>
      <c r="H2300" s="45" t="str">
        <f>H2272-H2299</f>
        <v>#DIV/0!</v>
      </c>
      <c r="I2300" s="45" t="str">
        <f t="shared" si="398"/>
        <v>#DIV/0!</v>
      </c>
      <c r="J2300" s="49" t="str">
        <f t="shared" si="399"/>
        <v>#DIV/0!</v>
      </c>
      <c r="K2300" s="45"/>
      <c r="L2300" s="45"/>
      <c r="M2300" s="45"/>
      <c r="N2300" s="45"/>
      <c r="O2300" s="45"/>
      <c r="P2300" s="50"/>
    </row>
    <row r="2301">
      <c r="A2301" s="51"/>
      <c r="B2301" s="51"/>
      <c r="D2301" s="51"/>
    </row>
    <row r="2302">
      <c r="D2302" s="51"/>
      <c r="I2302" s="51"/>
    </row>
    <row r="2303">
      <c r="D2303" s="51"/>
      <c r="I2303" s="51"/>
    </row>
    <row r="2304">
      <c r="A2304" s="51"/>
      <c r="D2304" s="51"/>
      <c r="G2304" s="51"/>
    </row>
    <row r="2305">
      <c r="A2305" s="51"/>
      <c r="G2305" s="51"/>
    </row>
    <row r="2306">
      <c r="A2306" s="51"/>
      <c r="D2306" s="51"/>
      <c r="G2306" s="51"/>
    </row>
    <row r="2307">
      <c r="A2307" s="51"/>
      <c r="D2307" s="51"/>
      <c r="G2307" s="51"/>
    </row>
    <row r="2308">
      <c r="A2308" s="51"/>
      <c r="D2308" s="51"/>
      <c r="G2308" s="51"/>
    </row>
    <row r="2309">
      <c r="A2309" s="51"/>
      <c r="D2309" s="51"/>
      <c r="G2309" s="51"/>
    </row>
    <row r="2310">
      <c r="A2310" s="6" t="s">
        <v>70</v>
      </c>
      <c r="B2310" s="52"/>
      <c r="C2310" s="8"/>
      <c r="D2310" s="9" t="s">
        <v>71</v>
      </c>
      <c r="E2310" s="10"/>
      <c r="F2310" s="10"/>
      <c r="G2310" s="10"/>
      <c r="H2310" s="10"/>
      <c r="I2310" s="10"/>
      <c r="J2310" s="10"/>
      <c r="K2310" s="9"/>
      <c r="L2310" s="10"/>
      <c r="M2310" s="10"/>
      <c r="N2310" s="10"/>
      <c r="O2310" s="10"/>
      <c r="P2310" s="11"/>
    </row>
    <row r="2311">
      <c r="A2311" s="12" t="s">
        <v>72</v>
      </c>
      <c r="B2311" s="13">
        <v>1000000.0</v>
      </c>
      <c r="C2311" s="14"/>
      <c r="D2311" s="53" t="str">
        <f>B2310</f>
        <v/>
      </c>
      <c r="E2311" s="16" t="s">
        <v>73</v>
      </c>
      <c r="F2311" s="17"/>
      <c r="G2311" s="16" t="s">
        <v>74</v>
      </c>
      <c r="H2311" s="16" t="s">
        <v>75</v>
      </c>
      <c r="I2311" s="16" t="s">
        <v>76</v>
      </c>
      <c r="J2311" s="18" t="s">
        <v>77</v>
      </c>
      <c r="P2311" s="19"/>
    </row>
    <row r="2312">
      <c r="A2312" s="12" t="s">
        <v>78</v>
      </c>
      <c r="B2312" s="13">
        <v>1000000.0</v>
      </c>
      <c r="C2312" s="14"/>
      <c r="D2312" s="20" t="s">
        <v>72</v>
      </c>
      <c r="E2312" s="21">
        <f t="shared" ref="E2312:E2313" si="400">B2311</f>
        <v>1000000</v>
      </c>
      <c r="F2312" s="20" t="s">
        <v>79</v>
      </c>
      <c r="G2312" s="21">
        <f t="shared" ref="G2312:G2313" si="401">B2314</f>
        <v>4</v>
      </c>
      <c r="H2312" s="4">
        <f>G2312+(G2313/60)</f>
        <v>4.166666667</v>
      </c>
      <c r="I2312" s="21">
        <f>B2319</f>
        <v>6</v>
      </c>
      <c r="J2312" s="22" t="s">
        <v>80</v>
      </c>
      <c r="K2312" s="23">
        <f>B2321/B2322</f>
        <v>0</v>
      </c>
      <c r="P2312" s="19"/>
    </row>
    <row r="2313">
      <c r="A2313" s="12" t="s">
        <v>81</v>
      </c>
      <c r="B2313" s="14"/>
      <c r="C2313" s="14"/>
      <c r="D2313" s="20" t="s">
        <v>78</v>
      </c>
      <c r="E2313" s="21">
        <f t="shared" si="400"/>
        <v>1000000</v>
      </c>
      <c r="F2313" s="20" t="s">
        <v>82</v>
      </c>
      <c r="G2313" s="21">
        <f t="shared" si="401"/>
        <v>10</v>
      </c>
      <c r="J2313" s="22" t="s">
        <v>83</v>
      </c>
      <c r="K2313" s="23">
        <f>B2323/B2324</f>
        <v>0</v>
      </c>
      <c r="P2313" s="19"/>
    </row>
    <row r="2314">
      <c r="A2314" s="24" t="s">
        <v>79</v>
      </c>
      <c r="B2314" s="13">
        <v>4.0</v>
      </c>
      <c r="C2314" s="14"/>
      <c r="D2314" s="20" t="s">
        <v>84</v>
      </c>
      <c r="E2314" s="25">
        <f>E2312-E2313</f>
        <v>0</v>
      </c>
      <c r="F2314" s="26"/>
      <c r="G2314" s="16" t="s">
        <v>85</v>
      </c>
      <c r="H2314" s="16" t="s">
        <v>86</v>
      </c>
      <c r="I2314" s="16" t="s">
        <v>87</v>
      </c>
      <c r="J2314" s="22" t="s">
        <v>88</v>
      </c>
      <c r="K2314" s="23">
        <f>B2325/B2326</f>
        <v>0</v>
      </c>
      <c r="P2314" s="19"/>
    </row>
    <row r="2315">
      <c r="A2315" s="24" t="s">
        <v>89</v>
      </c>
      <c r="B2315" s="13">
        <v>10.0</v>
      </c>
      <c r="C2315" s="14"/>
      <c r="D2315" s="16" t="s">
        <v>90</v>
      </c>
      <c r="F2315" s="20" t="s">
        <v>79</v>
      </c>
      <c r="G2315" s="21">
        <f t="shared" ref="G2315:G2316" si="402">B2317</f>
        <v>4</v>
      </c>
      <c r="H2315" s="25">
        <f>G2315+(G2316/60)</f>
        <v>4.166666667</v>
      </c>
      <c r="I2315" s="25">
        <f>H2312-H2315</f>
        <v>0</v>
      </c>
      <c r="J2315" s="22" t="s">
        <v>91</v>
      </c>
      <c r="K2315" s="23">
        <f>B2327/B2328</f>
        <v>0</v>
      </c>
      <c r="P2315" s="19"/>
    </row>
    <row r="2316">
      <c r="A2316" s="12" t="s">
        <v>85</v>
      </c>
      <c r="B2316" s="27"/>
      <c r="C2316" s="14"/>
      <c r="D2316" s="28" t="s">
        <v>92</v>
      </c>
      <c r="E2316" s="25">
        <f>E2312/H2321</f>
        <v>218181.8182</v>
      </c>
      <c r="F2316" s="20" t="s">
        <v>82</v>
      </c>
      <c r="G2316" s="21">
        <f t="shared" si="402"/>
        <v>10</v>
      </c>
      <c r="J2316" s="22" t="s">
        <v>93</v>
      </c>
      <c r="K2316" s="23">
        <f>B2329/B2330</f>
        <v>0</v>
      </c>
      <c r="P2316" s="19"/>
    </row>
    <row r="2317">
      <c r="A2317" s="24" t="s">
        <v>79</v>
      </c>
      <c r="B2317" s="13">
        <v>4.0</v>
      </c>
      <c r="C2317" s="14"/>
      <c r="D2317" s="28" t="s">
        <v>94</v>
      </c>
      <c r="E2317" s="25">
        <f>E2312/I2312</f>
        <v>166666.6667</v>
      </c>
      <c r="J2317" s="22" t="s">
        <v>95</v>
      </c>
      <c r="K2317" s="23">
        <f>B2331/B2332</f>
        <v>0</v>
      </c>
      <c r="P2317" s="19"/>
    </row>
    <row r="2318">
      <c r="A2318" s="24" t="s">
        <v>89</v>
      </c>
      <c r="B2318" s="13">
        <v>10.0</v>
      </c>
      <c r="C2318" s="14"/>
      <c r="D2318" s="28" t="s">
        <v>96</v>
      </c>
      <c r="E2318" s="25">
        <f>E2316/I2312</f>
        <v>36363.63636</v>
      </c>
      <c r="J2318" s="29" t="s">
        <v>97</v>
      </c>
      <c r="K2318" s="30">
        <f>SUM(K2312:K2317)</f>
        <v>0</v>
      </c>
      <c r="P2318" s="19"/>
    </row>
    <row r="2319">
      <c r="A2319" s="12" t="s">
        <v>98</v>
      </c>
      <c r="B2319" s="13">
        <v>6.0</v>
      </c>
      <c r="C2319" s="14"/>
      <c r="D2319" s="28" t="s">
        <v>99</v>
      </c>
      <c r="E2319" s="31">
        <f>E2318/12</f>
        <v>3030.30303</v>
      </c>
      <c r="I2319" s="29"/>
      <c r="J2319" s="29" t="s">
        <v>100</v>
      </c>
      <c r="K2319" s="30">
        <f>H2329</f>
        <v>0</v>
      </c>
      <c r="P2319" s="19"/>
    </row>
    <row r="2320">
      <c r="A2320" s="32"/>
      <c r="B2320" s="14"/>
      <c r="C2320" s="14"/>
      <c r="D2320" s="28" t="s">
        <v>101</v>
      </c>
      <c r="E2320" s="25">
        <f>E2319*5</f>
        <v>15151.51515</v>
      </c>
      <c r="J2320" s="29" t="s">
        <v>102</v>
      </c>
      <c r="K2320" s="30">
        <f>E2321</f>
        <v>18181.81818</v>
      </c>
      <c r="P2320" s="19"/>
    </row>
    <row r="2321">
      <c r="A2321" s="33" t="s">
        <v>103</v>
      </c>
      <c r="B2321" s="34">
        <v>0.0</v>
      </c>
      <c r="C2321" s="14"/>
      <c r="D2321" s="28" t="s">
        <v>104</v>
      </c>
      <c r="E2321" s="25">
        <f>E2319*6</f>
        <v>18181.81818</v>
      </c>
      <c r="G2321" s="35" t="s">
        <v>105</v>
      </c>
      <c r="H2321" s="36">
        <f>H2312+(25/60)</f>
        <v>4.583333333</v>
      </c>
      <c r="J2321" s="29" t="s">
        <v>106</v>
      </c>
      <c r="K2321" s="30">
        <f>E2329</f>
        <v>20000</v>
      </c>
      <c r="P2321" s="19"/>
    </row>
    <row r="2322">
      <c r="A2322" s="37" t="s">
        <v>107</v>
      </c>
      <c r="B2322" s="38">
        <v>1.0</v>
      </c>
      <c r="C2322" s="14"/>
      <c r="G2322" s="35" t="s">
        <v>108</v>
      </c>
      <c r="H2322" s="36">
        <f>I2315+(25/60)</f>
        <v>0.4166666667</v>
      </c>
      <c r="I2322" s="39" t="s">
        <v>109</v>
      </c>
      <c r="P2322" s="19"/>
    </row>
    <row r="2323">
      <c r="A2323" s="40" t="s">
        <v>110</v>
      </c>
      <c r="B2323" s="13">
        <v>0.0</v>
      </c>
      <c r="C2323" s="14"/>
      <c r="D2323" s="16" t="s">
        <v>111</v>
      </c>
      <c r="G2323" s="16" t="s">
        <v>112</v>
      </c>
      <c r="H2323" s="36"/>
      <c r="I2323" s="39" t="s">
        <v>113</v>
      </c>
      <c r="P2323" s="19"/>
    </row>
    <row r="2324">
      <c r="A2324" s="37" t="s">
        <v>114</v>
      </c>
      <c r="B2324" s="38">
        <v>1.0</v>
      </c>
      <c r="C2324" s="14"/>
      <c r="D2324" s="28" t="s">
        <v>92</v>
      </c>
      <c r="E2324" s="25">
        <f>E2313/H2315</f>
        <v>240000</v>
      </c>
      <c r="G2324" s="28" t="s">
        <v>92</v>
      </c>
      <c r="H2324" s="36">
        <f>E2314/H2322</f>
        <v>0</v>
      </c>
      <c r="I2324" s="39" t="s">
        <v>115</v>
      </c>
      <c r="P2324" s="19"/>
    </row>
    <row r="2325">
      <c r="A2325" s="40" t="s">
        <v>116</v>
      </c>
      <c r="B2325" s="13">
        <v>0.0</v>
      </c>
      <c r="C2325" s="14"/>
      <c r="D2325" s="28" t="s">
        <v>94</v>
      </c>
      <c r="E2325" s="25">
        <f>E2313/I2312</f>
        <v>166666.6667</v>
      </c>
      <c r="G2325" s="28" t="s">
        <v>94</v>
      </c>
      <c r="H2325" s="36">
        <f>E2314/I2312</f>
        <v>0</v>
      </c>
      <c r="I2325" s="39" t="s">
        <v>117</v>
      </c>
      <c r="P2325" s="19"/>
    </row>
    <row r="2326">
      <c r="A2326" s="37" t="s">
        <v>118</v>
      </c>
      <c r="B2326" s="38">
        <v>1.0</v>
      </c>
      <c r="C2326" s="14"/>
      <c r="D2326" s="28" t="s">
        <v>96</v>
      </c>
      <c r="E2326" s="25">
        <f>E2325/H2315</f>
        <v>40000</v>
      </c>
      <c r="G2326" s="28" t="s">
        <v>96</v>
      </c>
      <c r="H2326" s="36">
        <f>H2325/H2322</f>
        <v>0</v>
      </c>
      <c r="P2326" s="19"/>
    </row>
    <row r="2327">
      <c r="A2327" s="40" t="s">
        <v>119</v>
      </c>
      <c r="B2327" s="13">
        <v>0.0</v>
      </c>
      <c r="C2327" s="14"/>
      <c r="D2327" s="28" t="s">
        <v>99</v>
      </c>
      <c r="E2327" s="25">
        <f>E2326/12</f>
        <v>3333.333333</v>
      </c>
      <c r="G2327" s="28" t="s">
        <v>99</v>
      </c>
      <c r="H2327" s="36">
        <f>H2326/12</f>
        <v>0</v>
      </c>
      <c r="P2327" s="19"/>
    </row>
    <row r="2328">
      <c r="A2328" s="37" t="s">
        <v>120</v>
      </c>
      <c r="B2328" s="38">
        <v>1.0</v>
      </c>
      <c r="C2328" s="14"/>
      <c r="D2328" s="28" t="s">
        <v>101</v>
      </c>
      <c r="E2328" s="25">
        <f>E2327*5</f>
        <v>16666.66667</v>
      </c>
      <c r="G2328" s="28" t="s">
        <v>101</v>
      </c>
      <c r="H2328" s="36">
        <f>H2327*5</f>
        <v>0</v>
      </c>
      <c r="P2328" s="19"/>
    </row>
    <row r="2329">
      <c r="A2329" s="40" t="s">
        <v>121</v>
      </c>
      <c r="B2329" s="13">
        <v>0.0</v>
      </c>
      <c r="C2329" s="14"/>
      <c r="D2329" s="28" t="s">
        <v>104</v>
      </c>
      <c r="E2329" s="25">
        <f>E2327*6</f>
        <v>20000</v>
      </c>
      <c r="G2329" s="28" t="s">
        <v>104</v>
      </c>
      <c r="H2329" s="36">
        <f>H2327*6</f>
        <v>0</v>
      </c>
      <c r="P2329" s="19"/>
    </row>
    <row r="2330">
      <c r="A2330" s="37" t="s">
        <v>122</v>
      </c>
      <c r="B2330" s="38">
        <v>1.0</v>
      </c>
      <c r="C2330" s="14"/>
      <c r="P2330" s="19"/>
    </row>
    <row r="2331">
      <c r="A2331" s="40" t="s">
        <v>123</v>
      </c>
      <c r="B2331" s="13">
        <v>0.0</v>
      </c>
      <c r="C2331" s="14"/>
      <c r="D2331" s="28" t="s">
        <v>124</v>
      </c>
      <c r="E2331" s="41"/>
      <c r="F2331" s="41"/>
      <c r="P2331" s="19"/>
    </row>
    <row r="2332">
      <c r="A2332" s="37" t="s">
        <v>125</v>
      </c>
      <c r="B2332" s="38">
        <v>1.0</v>
      </c>
      <c r="C2332" s="14"/>
      <c r="D2332" s="4" t="s">
        <v>126</v>
      </c>
      <c r="E2332" s="25">
        <f t="shared" ref="E2332:E2335" si="403">H2326-E2326</f>
        <v>-40000</v>
      </c>
      <c r="P2332" s="19"/>
    </row>
    <row r="2333">
      <c r="A2333" s="42" t="s">
        <v>127</v>
      </c>
      <c r="C2333" s="14"/>
      <c r="D2333" s="4" t="s">
        <v>128</v>
      </c>
      <c r="E2333" s="25">
        <f t="shared" si="403"/>
        <v>-3333.333333</v>
      </c>
      <c r="P2333" s="19"/>
    </row>
    <row r="2334">
      <c r="A2334" s="32"/>
      <c r="C2334" s="14"/>
      <c r="D2334" s="4" t="s">
        <v>129</v>
      </c>
      <c r="E2334" s="25">
        <f t="shared" si="403"/>
        <v>-16666.66667</v>
      </c>
      <c r="G2334" s="43"/>
      <c r="P2334" s="19"/>
    </row>
    <row r="2335">
      <c r="A2335" s="32"/>
      <c r="C2335" s="14"/>
      <c r="D2335" s="4" t="s">
        <v>130</v>
      </c>
      <c r="E2335" s="25">
        <f t="shared" si="403"/>
        <v>-20000</v>
      </c>
      <c r="P2335" s="19"/>
    </row>
    <row r="2336">
      <c r="A2336" s="24"/>
      <c r="C2336" s="14"/>
      <c r="D2336" s="28" t="s">
        <v>131</v>
      </c>
      <c r="P2336" s="19"/>
    </row>
    <row r="2337">
      <c r="A2337" s="32"/>
      <c r="C2337" s="14"/>
      <c r="D2337" s="4" t="s">
        <v>132</v>
      </c>
      <c r="E2337" s="25">
        <f t="shared" ref="E2337:E2340" si="404">H2326-E2318</f>
        <v>-36363.63636</v>
      </c>
      <c r="P2337" s="19"/>
    </row>
    <row r="2338">
      <c r="A2338" s="32"/>
      <c r="C2338" s="14"/>
      <c r="D2338" s="4" t="s">
        <v>133</v>
      </c>
      <c r="E2338" s="25">
        <f t="shared" si="404"/>
        <v>-3030.30303</v>
      </c>
      <c r="G2338" s="28" t="s">
        <v>134</v>
      </c>
      <c r="I2338" s="35" t="s">
        <v>135</v>
      </c>
      <c r="J2338" s="35" t="s">
        <v>82</v>
      </c>
      <c r="P2338" s="19"/>
    </row>
    <row r="2339">
      <c r="A2339" s="32"/>
      <c r="C2339" s="14"/>
      <c r="D2339" s="4" t="s">
        <v>136</v>
      </c>
      <c r="E2339" s="25">
        <f t="shared" si="404"/>
        <v>-15151.51515</v>
      </c>
      <c r="G2339" s="35" t="s">
        <v>137</v>
      </c>
      <c r="H2339" s="25" t="str">
        <f>(E2312/H2324)-(25/60)</f>
        <v>#DIV/0!</v>
      </c>
      <c r="I2339" s="25" t="str">
        <f t="shared" ref="I2339:I2340" si="405">INT(H2339)</f>
        <v>#DIV/0!</v>
      </c>
      <c r="J2339" s="36" t="str">
        <f t="shared" ref="J2339:J2340" si="406">INT((H2339-I2339)*60)</f>
        <v>#DIV/0!</v>
      </c>
      <c r="P2339" s="19"/>
    </row>
    <row r="2340">
      <c r="A2340" s="44"/>
      <c r="B2340" s="45"/>
      <c r="C2340" s="46"/>
      <c r="D2340" s="47" t="s">
        <v>138</v>
      </c>
      <c r="E2340" s="45">
        <f t="shared" si="404"/>
        <v>-18181.81818</v>
      </c>
      <c r="F2340" s="45"/>
      <c r="G2340" s="48" t="s">
        <v>139</v>
      </c>
      <c r="H2340" s="45" t="str">
        <f>H2312-H2339</f>
        <v>#DIV/0!</v>
      </c>
      <c r="I2340" s="45" t="str">
        <f t="shared" si="405"/>
        <v>#DIV/0!</v>
      </c>
      <c r="J2340" s="49" t="str">
        <f t="shared" si="406"/>
        <v>#DIV/0!</v>
      </c>
      <c r="K2340" s="45"/>
      <c r="L2340" s="45"/>
      <c r="M2340" s="45"/>
      <c r="N2340" s="45"/>
      <c r="O2340" s="45"/>
      <c r="P2340" s="50"/>
    </row>
    <row r="2341">
      <c r="A2341" s="51"/>
      <c r="B2341" s="51"/>
      <c r="D2341" s="51"/>
    </row>
    <row r="2342">
      <c r="D2342" s="51"/>
      <c r="I2342" s="51"/>
    </row>
    <row r="2343">
      <c r="D2343" s="51"/>
      <c r="I2343" s="51"/>
    </row>
    <row r="2344">
      <c r="D2344" s="51"/>
      <c r="G2344" s="51"/>
    </row>
    <row r="2345">
      <c r="G2345" s="51"/>
    </row>
    <row r="2346">
      <c r="D2346" s="51"/>
      <c r="G2346" s="51"/>
    </row>
    <row r="2347">
      <c r="D2347" s="51"/>
      <c r="G2347" s="51"/>
    </row>
    <row r="2348">
      <c r="D2348" s="51"/>
      <c r="G2348" s="51"/>
    </row>
    <row r="2349">
      <c r="D2349" s="51"/>
      <c r="G2349" s="51"/>
    </row>
    <row r="2350">
      <c r="A2350" s="6" t="s">
        <v>70</v>
      </c>
      <c r="B2350" s="52"/>
      <c r="C2350" s="8"/>
      <c r="D2350" s="9" t="s">
        <v>71</v>
      </c>
      <c r="E2350" s="10"/>
      <c r="F2350" s="10"/>
      <c r="G2350" s="10"/>
      <c r="H2350" s="10"/>
      <c r="I2350" s="10"/>
      <c r="J2350" s="10"/>
      <c r="K2350" s="9"/>
      <c r="L2350" s="10"/>
      <c r="M2350" s="10"/>
      <c r="N2350" s="10"/>
      <c r="O2350" s="10"/>
      <c r="P2350" s="11"/>
    </row>
    <row r="2351">
      <c r="A2351" s="12" t="s">
        <v>72</v>
      </c>
      <c r="B2351" s="13">
        <v>1000000.0</v>
      </c>
      <c r="C2351" s="14"/>
      <c r="D2351" s="53" t="str">
        <f>B2350</f>
        <v/>
      </c>
      <c r="E2351" s="16" t="s">
        <v>73</v>
      </c>
      <c r="F2351" s="17"/>
      <c r="G2351" s="16" t="s">
        <v>74</v>
      </c>
      <c r="H2351" s="16" t="s">
        <v>75</v>
      </c>
      <c r="I2351" s="16" t="s">
        <v>76</v>
      </c>
      <c r="J2351" s="18" t="s">
        <v>77</v>
      </c>
      <c r="P2351" s="19"/>
    </row>
    <row r="2352">
      <c r="A2352" s="12" t="s">
        <v>78</v>
      </c>
      <c r="B2352" s="13">
        <v>1000000.0</v>
      </c>
      <c r="C2352" s="14"/>
      <c r="D2352" s="20" t="s">
        <v>72</v>
      </c>
      <c r="E2352" s="21">
        <f t="shared" ref="E2352:E2353" si="407">B2351</f>
        <v>1000000</v>
      </c>
      <c r="F2352" s="20" t="s">
        <v>79</v>
      </c>
      <c r="G2352" s="21">
        <f t="shared" ref="G2352:G2353" si="408">B2354</f>
        <v>4</v>
      </c>
      <c r="H2352" s="4">
        <f>G2352+(G2353/60)</f>
        <v>4.166666667</v>
      </c>
      <c r="I2352" s="21">
        <f>B2359</f>
        <v>6</v>
      </c>
      <c r="J2352" s="22" t="s">
        <v>80</v>
      </c>
      <c r="K2352" s="23">
        <f>B2361/B2362</f>
        <v>0</v>
      </c>
      <c r="P2352" s="19"/>
    </row>
    <row r="2353">
      <c r="A2353" s="12" t="s">
        <v>81</v>
      </c>
      <c r="B2353" s="14"/>
      <c r="C2353" s="14"/>
      <c r="D2353" s="20" t="s">
        <v>78</v>
      </c>
      <c r="E2353" s="21">
        <f t="shared" si="407"/>
        <v>1000000</v>
      </c>
      <c r="F2353" s="20" t="s">
        <v>82</v>
      </c>
      <c r="G2353" s="21">
        <f t="shared" si="408"/>
        <v>10</v>
      </c>
      <c r="J2353" s="22" t="s">
        <v>83</v>
      </c>
      <c r="K2353" s="23">
        <f>B2363/B2364</f>
        <v>0</v>
      </c>
      <c r="P2353" s="19"/>
    </row>
    <row r="2354">
      <c r="A2354" s="24" t="s">
        <v>79</v>
      </c>
      <c r="B2354" s="13">
        <v>4.0</v>
      </c>
      <c r="C2354" s="14"/>
      <c r="D2354" s="20" t="s">
        <v>84</v>
      </c>
      <c r="E2354" s="25">
        <f>E2352-E2353</f>
        <v>0</v>
      </c>
      <c r="F2354" s="26"/>
      <c r="G2354" s="16" t="s">
        <v>85</v>
      </c>
      <c r="H2354" s="16" t="s">
        <v>86</v>
      </c>
      <c r="I2354" s="16" t="s">
        <v>87</v>
      </c>
      <c r="J2354" s="22" t="s">
        <v>88</v>
      </c>
      <c r="K2354" s="23">
        <f>B2365/B2366</f>
        <v>0</v>
      </c>
      <c r="P2354" s="19"/>
    </row>
    <row r="2355">
      <c r="A2355" s="24" t="s">
        <v>89</v>
      </c>
      <c r="B2355" s="13">
        <v>10.0</v>
      </c>
      <c r="C2355" s="14"/>
      <c r="D2355" s="16" t="s">
        <v>90</v>
      </c>
      <c r="F2355" s="20" t="s">
        <v>79</v>
      </c>
      <c r="G2355" s="21">
        <f t="shared" ref="G2355:G2356" si="409">B2357</f>
        <v>4</v>
      </c>
      <c r="H2355" s="25">
        <f>G2355+(G2356/60)</f>
        <v>4.166666667</v>
      </c>
      <c r="I2355" s="25">
        <f>H2352-H2355</f>
        <v>0</v>
      </c>
      <c r="J2355" s="22" t="s">
        <v>91</v>
      </c>
      <c r="K2355" s="23">
        <f>B2367/B2368</f>
        <v>0</v>
      </c>
      <c r="P2355" s="19"/>
    </row>
    <row r="2356">
      <c r="A2356" s="12" t="s">
        <v>85</v>
      </c>
      <c r="B2356" s="27"/>
      <c r="C2356" s="14"/>
      <c r="D2356" s="28" t="s">
        <v>92</v>
      </c>
      <c r="E2356" s="25">
        <f>E2352/H2361</f>
        <v>218181.8182</v>
      </c>
      <c r="F2356" s="20" t="s">
        <v>82</v>
      </c>
      <c r="G2356" s="21">
        <f t="shared" si="409"/>
        <v>10</v>
      </c>
      <c r="J2356" s="22" t="s">
        <v>93</v>
      </c>
      <c r="K2356" s="23">
        <f>B2369/B2370</f>
        <v>0</v>
      </c>
      <c r="P2356" s="19"/>
    </row>
    <row r="2357">
      <c r="A2357" s="24" t="s">
        <v>79</v>
      </c>
      <c r="B2357" s="13">
        <v>4.0</v>
      </c>
      <c r="C2357" s="14"/>
      <c r="D2357" s="28" t="s">
        <v>94</v>
      </c>
      <c r="E2357" s="25">
        <f>E2352/I2352</f>
        <v>166666.6667</v>
      </c>
      <c r="J2357" s="22" t="s">
        <v>95</v>
      </c>
      <c r="K2357" s="23">
        <f>B2371/B2372</f>
        <v>0</v>
      </c>
      <c r="P2357" s="19"/>
    </row>
    <row r="2358">
      <c r="A2358" s="24" t="s">
        <v>89</v>
      </c>
      <c r="B2358" s="13">
        <v>10.0</v>
      </c>
      <c r="C2358" s="14"/>
      <c r="D2358" s="28" t="s">
        <v>96</v>
      </c>
      <c r="E2358" s="25">
        <f>E2356/I2352</f>
        <v>36363.63636</v>
      </c>
      <c r="J2358" s="29" t="s">
        <v>97</v>
      </c>
      <c r="K2358" s="30">
        <f>SUM(K2352:K2357)</f>
        <v>0</v>
      </c>
      <c r="P2358" s="19"/>
    </row>
    <row r="2359">
      <c r="A2359" s="12" t="s">
        <v>98</v>
      </c>
      <c r="B2359" s="13">
        <v>6.0</v>
      </c>
      <c r="C2359" s="14"/>
      <c r="D2359" s="28" t="s">
        <v>99</v>
      </c>
      <c r="E2359" s="31">
        <f>E2358/12</f>
        <v>3030.30303</v>
      </c>
      <c r="I2359" s="29"/>
      <c r="J2359" s="29" t="s">
        <v>100</v>
      </c>
      <c r="K2359" s="30">
        <f>H2369</f>
        <v>0</v>
      </c>
      <c r="P2359" s="19"/>
    </row>
    <row r="2360">
      <c r="A2360" s="32"/>
      <c r="B2360" s="14"/>
      <c r="C2360" s="14"/>
      <c r="D2360" s="28" t="s">
        <v>101</v>
      </c>
      <c r="E2360" s="25">
        <f>E2359*5</f>
        <v>15151.51515</v>
      </c>
      <c r="J2360" s="29" t="s">
        <v>102</v>
      </c>
      <c r="K2360" s="30">
        <f>E2361</f>
        <v>18181.81818</v>
      </c>
      <c r="P2360" s="19"/>
    </row>
    <row r="2361">
      <c r="A2361" s="33" t="s">
        <v>103</v>
      </c>
      <c r="B2361" s="34">
        <v>0.0</v>
      </c>
      <c r="C2361" s="14"/>
      <c r="D2361" s="28" t="s">
        <v>104</v>
      </c>
      <c r="E2361" s="25">
        <f>E2359*6</f>
        <v>18181.81818</v>
      </c>
      <c r="G2361" s="35" t="s">
        <v>105</v>
      </c>
      <c r="H2361" s="36">
        <f>H2352+(25/60)</f>
        <v>4.583333333</v>
      </c>
      <c r="J2361" s="29" t="s">
        <v>106</v>
      </c>
      <c r="K2361" s="30">
        <f>E2369</f>
        <v>20000</v>
      </c>
      <c r="P2361" s="19"/>
    </row>
    <row r="2362">
      <c r="A2362" s="37" t="s">
        <v>107</v>
      </c>
      <c r="B2362" s="38">
        <v>1.0</v>
      </c>
      <c r="C2362" s="14"/>
      <c r="G2362" s="35" t="s">
        <v>108</v>
      </c>
      <c r="H2362" s="36">
        <f>I2355+(25/60)</f>
        <v>0.4166666667</v>
      </c>
      <c r="I2362" s="39" t="s">
        <v>109</v>
      </c>
      <c r="P2362" s="19"/>
    </row>
    <row r="2363">
      <c r="A2363" s="40" t="s">
        <v>110</v>
      </c>
      <c r="B2363" s="13">
        <v>0.0</v>
      </c>
      <c r="C2363" s="14"/>
      <c r="D2363" s="16" t="s">
        <v>111</v>
      </c>
      <c r="G2363" s="16" t="s">
        <v>112</v>
      </c>
      <c r="H2363" s="36"/>
      <c r="I2363" s="39" t="s">
        <v>113</v>
      </c>
      <c r="P2363" s="19"/>
    </row>
    <row r="2364">
      <c r="A2364" s="37" t="s">
        <v>114</v>
      </c>
      <c r="B2364" s="38">
        <v>1.0</v>
      </c>
      <c r="C2364" s="14"/>
      <c r="D2364" s="28" t="s">
        <v>92</v>
      </c>
      <c r="E2364" s="25">
        <f>E2353/H2355</f>
        <v>240000</v>
      </c>
      <c r="G2364" s="28" t="s">
        <v>92</v>
      </c>
      <c r="H2364" s="36">
        <f>E2354/H2362</f>
        <v>0</v>
      </c>
      <c r="I2364" s="39" t="s">
        <v>115</v>
      </c>
      <c r="P2364" s="19"/>
    </row>
    <row r="2365">
      <c r="A2365" s="40" t="s">
        <v>116</v>
      </c>
      <c r="B2365" s="13">
        <v>0.0</v>
      </c>
      <c r="C2365" s="14"/>
      <c r="D2365" s="28" t="s">
        <v>94</v>
      </c>
      <c r="E2365" s="25">
        <f>E2353/I2352</f>
        <v>166666.6667</v>
      </c>
      <c r="G2365" s="28" t="s">
        <v>94</v>
      </c>
      <c r="H2365" s="36">
        <f>E2354/I2352</f>
        <v>0</v>
      </c>
      <c r="I2365" s="39" t="s">
        <v>117</v>
      </c>
      <c r="P2365" s="19"/>
    </row>
    <row r="2366">
      <c r="A2366" s="37" t="s">
        <v>118</v>
      </c>
      <c r="B2366" s="38">
        <v>1.0</v>
      </c>
      <c r="C2366" s="14"/>
      <c r="D2366" s="28" t="s">
        <v>96</v>
      </c>
      <c r="E2366" s="25">
        <f>E2365/H2355</f>
        <v>40000</v>
      </c>
      <c r="G2366" s="28" t="s">
        <v>96</v>
      </c>
      <c r="H2366" s="36">
        <f>H2365/H2362</f>
        <v>0</v>
      </c>
      <c r="P2366" s="19"/>
    </row>
    <row r="2367">
      <c r="A2367" s="40" t="s">
        <v>119</v>
      </c>
      <c r="B2367" s="13">
        <v>0.0</v>
      </c>
      <c r="C2367" s="14"/>
      <c r="D2367" s="28" t="s">
        <v>99</v>
      </c>
      <c r="E2367" s="25">
        <f>E2366/12</f>
        <v>3333.333333</v>
      </c>
      <c r="G2367" s="28" t="s">
        <v>99</v>
      </c>
      <c r="H2367" s="36">
        <f>H2366/12</f>
        <v>0</v>
      </c>
      <c r="P2367" s="19"/>
    </row>
    <row r="2368">
      <c r="A2368" s="37" t="s">
        <v>120</v>
      </c>
      <c r="B2368" s="38">
        <v>1.0</v>
      </c>
      <c r="C2368" s="14"/>
      <c r="D2368" s="28" t="s">
        <v>101</v>
      </c>
      <c r="E2368" s="25">
        <f>E2367*5</f>
        <v>16666.66667</v>
      </c>
      <c r="G2368" s="28" t="s">
        <v>101</v>
      </c>
      <c r="H2368" s="36">
        <f>H2367*5</f>
        <v>0</v>
      </c>
      <c r="P2368" s="19"/>
    </row>
    <row r="2369">
      <c r="A2369" s="40" t="s">
        <v>121</v>
      </c>
      <c r="B2369" s="13">
        <v>0.0</v>
      </c>
      <c r="C2369" s="14"/>
      <c r="D2369" s="28" t="s">
        <v>104</v>
      </c>
      <c r="E2369" s="25">
        <f>E2367*6</f>
        <v>20000</v>
      </c>
      <c r="G2369" s="28" t="s">
        <v>104</v>
      </c>
      <c r="H2369" s="36">
        <f>H2367*6</f>
        <v>0</v>
      </c>
      <c r="P2369" s="19"/>
    </row>
    <row r="2370">
      <c r="A2370" s="37" t="s">
        <v>122</v>
      </c>
      <c r="B2370" s="38">
        <v>1.0</v>
      </c>
      <c r="C2370" s="14"/>
      <c r="P2370" s="19"/>
    </row>
    <row r="2371">
      <c r="A2371" s="40" t="s">
        <v>123</v>
      </c>
      <c r="B2371" s="13">
        <v>0.0</v>
      </c>
      <c r="C2371" s="14"/>
      <c r="D2371" s="28" t="s">
        <v>124</v>
      </c>
      <c r="E2371" s="41"/>
      <c r="F2371" s="41"/>
      <c r="P2371" s="19"/>
    </row>
    <row r="2372">
      <c r="A2372" s="37" t="s">
        <v>125</v>
      </c>
      <c r="B2372" s="38">
        <v>1.0</v>
      </c>
      <c r="C2372" s="14"/>
      <c r="D2372" s="4" t="s">
        <v>126</v>
      </c>
      <c r="E2372" s="25">
        <f t="shared" ref="E2372:E2375" si="410">H2366-E2366</f>
        <v>-40000</v>
      </c>
      <c r="P2372" s="19"/>
    </row>
    <row r="2373">
      <c r="A2373" s="42" t="s">
        <v>127</v>
      </c>
      <c r="C2373" s="14"/>
      <c r="D2373" s="4" t="s">
        <v>128</v>
      </c>
      <c r="E2373" s="25">
        <f t="shared" si="410"/>
        <v>-3333.333333</v>
      </c>
      <c r="P2373" s="19"/>
    </row>
    <row r="2374">
      <c r="A2374" s="32"/>
      <c r="C2374" s="14"/>
      <c r="D2374" s="4" t="s">
        <v>129</v>
      </c>
      <c r="E2374" s="25">
        <f t="shared" si="410"/>
        <v>-16666.66667</v>
      </c>
      <c r="G2374" s="43"/>
      <c r="P2374" s="19"/>
    </row>
    <row r="2375">
      <c r="A2375" s="32"/>
      <c r="C2375" s="14"/>
      <c r="D2375" s="4" t="s">
        <v>130</v>
      </c>
      <c r="E2375" s="25">
        <f t="shared" si="410"/>
        <v>-20000</v>
      </c>
      <c r="P2375" s="19"/>
    </row>
    <row r="2376">
      <c r="A2376" s="24"/>
      <c r="C2376" s="14"/>
      <c r="D2376" s="28" t="s">
        <v>131</v>
      </c>
      <c r="P2376" s="19"/>
    </row>
    <row r="2377">
      <c r="A2377" s="32"/>
      <c r="C2377" s="14"/>
      <c r="D2377" s="4" t="s">
        <v>132</v>
      </c>
      <c r="E2377" s="25">
        <f t="shared" ref="E2377:E2380" si="411">H2366-E2358</f>
        <v>-36363.63636</v>
      </c>
      <c r="P2377" s="19"/>
    </row>
    <row r="2378">
      <c r="A2378" s="32"/>
      <c r="C2378" s="14"/>
      <c r="D2378" s="4" t="s">
        <v>133</v>
      </c>
      <c r="E2378" s="25">
        <f t="shared" si="411"/>
        <v>-3030.30303</v>
      </c>
      <c r="G2378" s="28" t="s">
        <v>134</v>
      </c>
      <c r="I2378" s="35" t="s">
        <v>135</v>
      </c>
      <c r="J2378" s="35" t="s">
        <v>82</v>
      </c>
      <c r="P2378" s="19"/>
    </row>
    <row r="2379">
      <c r="A2379" s="32"/>
      <c r="C2379" s="14"/>
      <c r="D2379" s="4" t="s">
        <v>136</v>
      </c>
      <c r="E2379" s="25">
        <f t="shared" si="411"/>
        <v>-15151.51515</v>
      </c>
      <c r="G2379" s="35" t="s">
        <v>137</v>
      </c>
      <c r="H2379" s="25" t="str">
        <f>(E2352/H2364)-(25/60)</f>
        <v>#DIV/0!</v>
      </c>
      <c r="I2379" s="25" t="str">
        <f t="shared" ref="I2379:I2380" si="412">INT(H2379)</f>
        <v>#DIV/0!</v>
      </c>
      <c r="J2379" s="36" t="str">
        <f t="shared" ref="J2379:J2380" si="413">INT((H2379-I2379)*60)</f>
        <v>#DIV/0!</v>
      </c>
      <c r="P2379" s="19"/>
    </row>
    <row r="2380">
      <c r="A2380" s="44"/>
      <c r="B2380" s="45"/>
      <c r="C2380" s="46"/>
      <c r="D2380" s="47" t="s">
        <v>138</v>
      </c>
      <c r="E2380" s="45">
        <f t="shared" si="411"/>
        <v>-18181.81818</v>
      </c>
      <c r="F2380" s="45"/>
      <c r="G2380" s="48" t="s">
        <v>139</v>
      </c>
      <c r="H2380" s="45" t="str">
        <f>H2352-H2379</f>
        <v>#DIV/0!</v>
      </c>
      <c r="I2380" s="45" t="str">
        <f t="shared" si="412"/>
        <v>#DIV/0!</v>
      </c>
      <c r="J2380" s="49" t="str">
        <f t="shared" si="413"/>
        <v>#DIV/0!</v>
      </c>
      <c r="K2380" s="45"/>
      <c r="L2380" s="45"/>
      <c r="M2380" s="45"/>
      <c r="N2380" s="45"/>
      <c r="O2380" s="45"/>
      <c r="P2380" s="50"/>
    </row>
    <row r="2381">
      <c r="A2381" s="51"/>
      <c r="B2381" s="51"/>
      <c r="D2381" s="51"/>
    </row>
    <row r="2382">
      <c r="D2382" s="51"/>
      <c r="I2382" s="51"/>
    </row>
    <row r="2383">
      <c r="D2383" s="51"/>
      <c r="I2383" s="51"/>
    </row>
    <row r="2384">
      <c r="A2384" s="51"/>
      <c r="D2384" s="51"/>
      <c r="G2384" s="51"/>
    </row>
    <row r="2385">
      <c r="A2385" s="51"/>
      <c r="G2385" s="51"/>
    </row>
    <row r="2386">
      <c r="A2386" s="51"/>
      <c r="D2386" s="51"/>
      <c r="G2386" s="51"/>
    </row>
    <row r="2387">
      <c r="A2387" s="51"/>
      <c r="D2387" s="51"/>
      <c r="G2387" s="51"/>
    </row>
    <row r="2388">
      <c r="A2388" s="51"/>
      <c r="D2388" s="51"/>
      <c r="G2388" s="51"/>
    </row>
    <row r="2389">
      <c r="A2389" s="51"/>
      <c r="D2389" s="51"/>
      <c r="G2389" s="51"/>
    </row>
    <row r="2390">
      <c r="A2390" s="6" t="s">
        <v>70</v>
      </c>
      <c r="B2390" s="52"/>
      <c r="C2390" s="8"/>
      <c r="D2390" s="9" t="s">
        <v>71</v>
      </c>
      <c r="E2390" s="10"/>
      <c r="F2390" s="10"/>
      <c r="G2390" s="10"/>
      <c r="H2390" s="10"/>
      <c r="I2390" s="10"/>
      <c r="J2390" s="10"/>
      <c r="K2390" s="9"/>
      <c r="L2390" s="10"/>
      <c r="M2390" s="10"/>
      <c r="N2390" s="10"/>
      <c r="O2390" s="10"/>
      <c r="P2390" s="11"/>
    </row>
    <row r="2391">
      <c r="A2391" s="12" t="s">
        <v>72</v>
      </c>
      <c r="B2391" s="13">
        <v>1000000.0</v>
      </c>
      <c r="C2391" s="14"/>
      <c r="D2391" s="53" t="str">
        <f>B2390</f>
        <v/>
      </c>
      <c r="E2391" s="16" t="s">
        <v>73</v>
      </c>
      <c r="F2391" s="17"/>
      <c r="G2391" s="16" t="s">
        <v>74</v>
      </c>
      <c r="H2391" s="16" t="s">
        <v>75</v>
      </c>
      <c r="I2391" s="16" t="s">
        <v>76</v>
      </c>
      <c r="J2391" s="18" t="s">
        <v>77</v>
      </c>
      <c r="P2391" s="19"/>
    </row>
    <row r="2392">
      <c r="A2392" s="12" t="s">
        <v>78</v>
      </c>
      <c r="B2392" s="13">
        <v>1000000.0</v>
      </c>
      <c r="C2392" s="14"/>
      <c r="D2392" s="20" t="s">
        <v>72</v>
      </c>
      <c r="E2392" s="21">
        <f t="shared" ref="E2392:E2393" si="414">B2391</f>
        <v>1000000</v>
      </c>
      <c r="F2392" s="20" t="s">
        <v>79</v>
      </c>
      <c r="G2392" s="21">
        <f t="shared" ref="G2392:G2393" si="415">B2394</f>
        <v>4</v>
      </c>
      <c r="H2392" s="4">
        <f>G2392+(G2393/60)</f>
        <v>4.166666667</v>
      </c>
      <c r="I2392" s="21">
        <f>B2399</f>
        <v>6</v>
      </c>
      <c r="J2392" s="22" t="s">
        <v>80</v>
      </c>
      <c r="K2392" s="23">
        <f>B2401/B2402</f>
        <v>0</v>
      </c>
      <c r="P2392" s="19"/>
    </row>
    <row r="2393">
      <c r="A2393" s="12" t="s">
        <v>81</v>
      </c>
      <c r="B2393" s="14"/>
      <c r="C2393" s="14"/>
      <c r="D2393" s="20" t="s">
        <v>78</v>
      </c>
      <c r="E2393" s="21">
        <f t="shared" si="414"/>
        <v>1000000</v>
      </c>
      <c r="F2393" s="20" t="s">
        <v>82</v>
      </c>
      <c r="G2393" s="21">
        <f t="shared" si="415"/>
        <v>10</v>
      </c>
      <c r="J2393" s="22" t="s">
        <v>83</v>
      </c>
      <c r="K2393" s="23">
        <f>B2403/B2404</f>
        <v>0</v>
      </c>
      <c r="P2393" s="19"/>
    </row>
    <row r="2394">
      <c r="A2394" s="24" t="s">
        <v>79</v>
      </c>
      <c r="B2394" s="13">
        <v>4.0</v>
      </c>
      <c r="C2394" s="14"/>
      <c r="D2394" s="20" t="s">
        <v>84</v>
      </c>
      <c r="E2394" s="25">
        <f>E2392-E2393</f>
        <v>0</v>
      </c>
      <c r="F2394" s="26"/>
      <c r="G2394" s="16" t="s">
        <v>85</v>
      </c>
      <c r="H2394" s="16" t="s">
        <v>86</v>
      </c>
      <c r="I2394" s="16" t="s">
        <v>87</v>
      </c>
      <c r="J2394" s="22" t="s">
        <v>88</v>
      </c>
      <c r="K2394" s="23">
        <f>B2405/B2406</f>
        <v>0</v>
      </c>
      <c r="P2394" s="19"/>
    </row>
    <row r="2395">
      <c r="A2395" s="24" t="s">
        <v>89</v>
      </c>
      <c r="B2395" s="13">
        <v>10.0</v>
      </c>
      <c r="C2395" s="14"/>
      <c r="D2395" s="16" t="s">
        <v>90</v>
      </c>
      <c r="F2395" s="20" t="s">
        <v>79</v>
      </c>
      <c r="G2395" s="21">
        <f t="shared" ref="G2395:G2396" si="416">B2397</f>
        <v>4</v>
      </c>
      <c r="H2395" s="25">
        <f>G2395+(G2396/60)</f>
        <v>4.166666667</v>
      </c>
      <c r="I2395" s="25">
        <f>H2392-H2395</f>
        <v>0</v>
      </c>
      <c r="J2395" s="22" t="s">
        <v>91</v>
      </c>
      <c r="K2395" s="23">
        <f>B2407/B2408</f>
        <v>0</v>
      </c>
      <c r="P2395" s="19"/>
    </row>
    <row r="2396">
      <c r="A2396" s="12" t="s">
        <v>85</v>
      </c>
      <c r="B2396" s="27"/>
      <c r="C2396" s="14"/>
      <c r="D2396" s="28" t="s">
        <v>92</v>
      </c>
      <c r="E2396" s="25">
        <f>E2392/H2401</f>
        <v>218181.8182</v>
      </c>
      <c r="F2396" s="20" t="s">
        <v>82</v>
      </c>
      <c r="G2396" s="21">
        <f t="shared" si="416"/>
        <v>10</v>
      </c>
      <c r="J2396" s="22" t="s">
        <v>93</v>
      </c>
      <c r="K2396" s="23">
        <f>B2409/B2410</f>
        <v>0</v>
      </c>
      <c r="P2396" s="19"/>
    </row>
    <row r="2397">
      <c r="A2397" s="24" t="s">
        <v>79</v>
      </c>
      <c r="B2397" s="13">
        <v>4.0</v>
      </c>
      <c r="C2397" s="14"/>
      <c r="D2397" s="28" t="s">
        <v>94</v>
      </c>
      <c r="E2397" s="25">
        <f>E2392/I2392</f>
        <v>166666.6667</v>
      </c>
      <c r="J2397" s="22" t="s">
        <v>95</v>
      </c>
      <c r="K2397" s="23">
        <f>B2411/B2412</f>
        <v>0</v>
      </c>
      <c r="P2397" s="19"/>
    </row>
    <row r="2398">
      <c r="A2398" s="24" t="s">
        <v>89</v>
      </c>
      <c r="B2398" s="13">
        <v>10.0</v>
      </c>
      <c r="C2398" s="14"/>
      <c r="D2398" s="28" t="s">
        <v>96</v>
      </c>
      <c r="E2398" s="25">
        <f>E2396/I2392</f>
        <v>36363.63636</v>
      </c>
      <c r="J2398" s="29" t="s">
        <v>97</v>
      </c>
      <c r="K2398" s="30">
        <f>SUM(K2392:K2397)</f>
        <v>0</v>
      </c>
      <c r="P2398" s="19"/>
    </row>
    <row r="2399">
      <c r="A2399" s="12" t="s">
        <v>98</v>
      </c>
      <c r="B2399" s="13">
        <v>6.0</v>
      </c>
      <c r="C2399" s="14"/>
      <c r="D2399" s="28" t="s">
        <v>99</v>
      </c>
      <c r="E2399" s="31">
        <f>E2398/12</f>
        <v>3030.30303</v>
      </c>
      <c r="I2399" s="29"/>
      <c r="J2399" s="29" t="s">
        <v>100</v>
      </c>
      <c r="K2399" s="30">
        <f>H2409</f>
        <v>0</v>
      </c>
      <c r="P2399" s="19"/>
    </row>
    <row r="2400">
      <c r="A2400" s="32"/>
      <c r="B2400" s="14"/>
      <c r="C2400" s="14"/>
      <c r="D2400" s="28" t="s">
        <v>101</v>
      </c>
      <c r="E2400" s="25">
        <f>E2399*5</f>
        <v>15151.51515</v>
      </c>
      <c r="J2400" s="29" t="s">
        <v>102</v>
      </c>
      <c r="K2400" s="30">
        <f>E2401</f>
        <v>18181.81818</v>
      </c>
      <c r="P2400" s="19"/>
    </row>
    <row r="2401">
      <c r="A2401" s="33" t="s">
        <v>103</v>
      </c>
      <c r="B2401" s="34">
        <v>0.0</v>
      </c>
      <c r="C2401" s="14"/>
      <c r="D2401" s="28" t="s">
        <v>104</v>
      </c>
      <c r="E2401" s="25">
        <f>E2399*6</f>
        <v>18181.81818</v>
      </c>
      <c r="G2401" s="35" t="s">
        <v>105</v>
      </c>
      <c r="H2401" s="36">
        <f>H2392+(25/60)</f>
        <v>4.583333333</v>
      </c>
      <c r="J2401" s="29" t="s">
        <v>106</v>
      </c>
      <c r="K2401" s="30">
        <f>E2409</f>
        <v>20000</v>
      </c>
      <c r="P2401" s="19"/>
    </row>
    <row r="2402">
      <c r="A2402" s="37" t="s">
        <v>107</v>
      </c>
      <c r="B2402" s="38">
        <v>1.0</v>
      </c>
      <c r="C2402" s="14"/>
      <c r="G2402" s="35" t="s">
        <v>108</v>
      </c>
      <c r="H2402" s="36">
        <f>I2395+(25/60)</f>
        <v>0.4166666667</v>
      </c>
      <c r="I2402" s="39" t="s">
        <v>109</v>
      </c>
      <c r="P2402" s="19"/>
    </row>
    <row r="2403">
      <c r="A2403" s="40" t="s">
        <v>110</v>
      </c>
      <c r="B2403" s="13">
        <v>0.0</v>
      </c>
      <c r="C2403" s="14"/>
      <c r="D2403" s="16" t="s">
        <v>111</v>
      </c>
      <c r="G2403" s="16" t="s">
        <v>112</v>
      </c>
      <c r="H2403" s="36"/>
      <c r="I2403" s="39" t="s">
        <v>113</v>
      </c>
      <c r="P2403" s="19"/>
    </row>
    <row r="2404">
      <c r="A2404" s="37" t="s">
        <v>114</v>
      </c>
      <c r="B2404" s="38">
        <v>1.0</v>
      </c>
      <c r="C2404" s="14"/>
      <c r="D2404" s="28" t="s">
        <v>92</v>
      </c>
      <c r="E2404" s="25">
        <f>E2393/H2395</f>
        <v>240000</v>
      </c>
      <c r="G2404" s="28" t="s">
        <v>92</v>
      </c>
      <c r="H2404" s="36">
        <f>E2394/H2402</f>
        <v>0</v>
      </c>
      <c r="I2404" s="39" t="s">
        <v>115</v>
      </c>
      <c r="P2404" s="19"/>
    </row>
    <row r="2405">
      <c r="A2405" s="40" t="s">
        <v>116</v>
      </c>
      <c r="B2405" s="13">
        <v>0.0</v>
      </c>
      <c r="C2405" s="14"/>
      <c r="D2405" s="28" t="s">
        <v>94</v>
      </c>
      <c r="E2405" s="25">
        <f>E2393/I2392</f>
        <v>166666.6667</v>
      </c>
      <c r="G2405" s="28" t="s">
        <v>94</v>
      </c>
      <c r="H2405" s="36">
        <f>E2394/I2392</f>
        <v>0</v>
      </c>
      <c r="I2405" s="39" t="s">
        <v>117</v>
      </c>
      <c r="P2405" s="19"/>
    </row>
    <row r="2406">
      <c r="A2406" s="37" t="s">
        <v>118</v>
      </c>
      <c r="B2406" s="38">
        <v>1.0</v>
      </c>
      <c r="C2406" s="14"/>
      <c r="D2406" s="28" t="s">
        <v>96</v>
      </c>
      <c r="E2406" s="25">
        <f>E2405/H2395</f>
        <v>40000</v>
      </c>
      <c r="G2406" s="28" t="s">
        <v>96</v>
      </c>
      <c r="H2406" s="36">
        <f>H2405/H2402</f>
        <v>0</v>
      </c>
      <c r="P2406" s="19"/>
    </row>
    <row r="2407">
      <c r="A2407" s="40" t="s">
        <v>119</v>
      </c>
      <c r="B2407" s="13">
        <v>0.0</v>
      </c>
      <c r="C2407" s="14"/>
      <c r="D2407" s="28" t="s">
        <v>99</v>
      </c>
      <c r="E2407" s="25">
        <f>E2406/12</f>
        <v>3333.333333</v>
      </c>
      <c r="G2407" s="28" t="s">
        <v>99</v>
      </c>
      <c r="H2407" s="36">
        <f>H2406/12</f>
        <v>0</v>
      </c>
      <c r="P2407" s="19"/>
    </row>
    <row r="2408">
      <c r="A2408" s="37" t="s">
        <v>120</v>
      </c>
      <c r="B2408" s="38">
        <v>1.0</v>
      </c>
      <c r="C2408" s="14"/>
      <c r="D2408" s="28" t="s">
        <v>101</v>
      </c>
      <c r="E2408" s="25">
        <f>E2407*5</f>
        <v>16666.66667</v>
      </c>
      <c r="G2408" s="28" t="s">
        <v>101</v>
      </c>
      <c r="H2408" s="36">
        <f>H2407*5</f>
        <v>0</v>
      </c>
      <c r="P2408" s="19"/>
    </row>
    <row r="2409">
      <c r="A2409" s="40" t="s">
        <v>121</v>
      </c>
      <c r="B2409" s="13">
        <v>0.0</v>
      </c>
      <c r="C2409" s="14"/>
      <c r="D2409" s="28" t="s">
        <v>104</v>
      </c>
      <c r="E2409" s="25">
        <f>E2407*6</f>
        <v>20000</v>
      </c>
      <c r="G2409" s="28" t="s">
        <v>104</v>
      </c>
      <c r="H2409" s="36">
        <f>H2407*6</f>
        <v>0</v>
      </c>
      <c r="P2409" s="19"/>
    </row>
    <row r="2410">
      <c r="A2410" s="37" t="s">
        <v>122</v>
      </c>
      <c r="B2410" s="38">
        <v>1.0</v>
      </c>
      <c r="C2410" s="14"/>
      <c r="P2410" s="19"/>
    </row>
    <row r="2411">
      <c r="A2411" s="40" t="s">
        <v>123</v>
      </c>
      <c r="B2411" s="13">
        <v>0.0</v>
      </c>
      <c r="C2411" s="14"/>
      <c r="D2411" s="28" t="s">
        <v>124</v>
      </c>
      <c r="E2411" s="41"/>
      <c r="F2411" s="41"/>
      <c r="P2411" s="19"/>
    </row>
    <row r="2412">
      <c r="A2412" s="37" t="s">
        <v>125</v>
      </c>
      <c r="B2412" s="38">
        <v>1.0</v>
      </c>
      <c r="C2412" s="14"/>
      <c r="D2412" s="4" t="s">
        <v>126</v>
      </c>
      <c r="E2412" s="25">
        <f t="shared" ref="E2412:E2415" si="417">H2406-E2406</f>
        <v>-40000</v>
      </c>
      <c r="P2412" s="19"/>
    </row>
    <row r="2413">
      <c r="A2413" s="42" t="s">
        <v>127</v>
      </c>
      <c r="C2413" s="14"/>
      <c r="D2413" s="4" t="s">
        <v>128</v>
      </c>
      <c r="E2413" s="25">
        <f t="shared" si="417"/>
        <v>-3333.333333</v>
      </c>
      <c r="P2413" s="19"/>
    </row>
    <row r="2414">
      <c r="A2414" s="32"/>
      <c r="C2414" s="14"/>
      <c r="D2414" s="4" t="s">
        <v>129</v>
      </c>
      <c r="E2414" s="25">
        <f t="shared" si="417"/>
        <v>-16666.66667</v>
      </c>
      <c r="G2414" s="43"/>
      <c r="P2414" s="19"/>
    </row>
    <row r="2415">
      <c r="A2415" s="32"/>
      <c r="C2415" s="14"/>
      <c r="D2415" s="4" t="s">
        <v>130</v>
      </c>
      <c r="E2415" s="25">
        <f t="shared" si="417"/>
        <v>-20000</v>
      </c>
      <c r="P2415" s="19"/>
    </row>
    <row r="2416">
      <c r="A2416" s="24"/>
      <c r="C2416" s="14"/>
      <c r="D2416" s="28" t="s">
        <v>131</v>
      </c>
      <c r="P2416" s="19"/>
    </row>
    <row r="2417">
      <c r="A2417" s="32"/>
      <c r="C2417" s="14"/>
      <c r="D2417" s="4" t="s">
        <v>132</v>
      </c>
      <c r="E2417" s="25">
        <f t="shared" ref="E2417:E2420" si="418">H2406-E2398</f>
        <v>-36363.63636</v>
      </c>
      <c r="P2417" s="19"/>
    </row>
    <row r="2418">
      <c r="A2418" s="32"/>
      <c r="C2418" s="14"/>
      <c r="D2418" s="4" t="s">
        <v>133</v>
      </c>
      <c r="E2418" s="25">
        <f t="shared" si="418"/>
        <v>-3030.30303</v>
      </c>
      <c r="G2418" s="28" t="s">
        <v>134</v>
      </c>
      <c r="I2418" s="35" t="s">
        <v>135</v>
      </c>
      <c r="J2418" s="35" t="s">
        <v>82</v>
      </c>
      <c r="P2418" s="19"/>
    </row>
    <row r="2419">
      <c r="A2419" s="32"/>
      <c r="C2419" s="14"/>
      <c r="D2419" s="4" t="s">
        <v>136</v>
      </c>
      <c r="E2419" s="25">
        <f t="shared" si="418"/>
        <v>-15151.51515</v>
      </c>
      <c r="G2419" s="35" t="s">
        <v>137</v>
      </c>
      <c r="H2419" s="25" t="str">
        <f>(E2392/H2404)-(25/60)</f>
        <v>#DIV/0!</v>
      </c>
      <c r="I2419" s="25" t="str">
        <f t="shared" ref="I2419:I2420" si="419">INT(H2419)</f>
        <v>#DIV/0!</v>
      </c>
      <c r="J2419" s="36" t="str">
        <f t="shared" ref="J2419:J2420" si="420">INT((H2419-I2419)*60)</f>
        <v>#DIV/0!</v>
      </c>
      <c r="P2419" s="19"/>
    </row>
    <row r="2420">
      <c r="A2420" s="44"/>
      <c r="B2420" s="45"/>
      <c r="C2420" s="46"/>
      <c r="D2420" s="47" t="s">
        <v>138</v>
      </c>
      <c r="E2420" s="45">
        <f t="shared" si="418"/>
        <v>-18181.81818</v>
      </c>
      <c r="F2420" s="45"/>
      <c r="G2420" s="48" t="s">
        <v>139</v>
      </c>
      <c r="H2420" s="45" t="str">
        <f>H2392-H2419</f>
        <v>#DIV/0!</v>
      </c>
      <c r="I2420" s="45" t="str">
        <f t="shared" si="419"/>
        <v>#DIV/0!</v>
      </c>
      <c r="J2420" s="49" t="str">
        <f t="shared" si="420"/>
        <v>#DIV/0!</v>
      </c>
      <c r="K2420" s="45"/>
      <c r="L2420" s="45"/>
      <c r="M2420" s="45"/>
      <c r="N2420" s="45"/>
      <c r="O2420" s="45"/>
      <c r="P2420" s="50"/>
    </row>
  </sheetData>
  <conditionalFormatting sqref="E52:E54 E57:E59 E92:E94 E97:E99 E132:E134 E137:E139 E172:E174 E177:E179 E212:E214 E217:E219 E252:E254 E257:E259 E292:E294 E297:E299 E332:E334 E337:E339 E372:E374 E377:E379 E412:E414 E417:E419 E452:E454 E457:E459 E492:E494 E497:E499 E532:E534 E537:E539 E572:E574 E577:E579 E612:E614 E617:E619 E652:E654 E657:E659 E692:E694 E697:E699 E732:E734 E737:E739 E772:E774 E777:E779 E812:E814 E817:E819 E852:E854 E857:E859 E892:E894 E897:E899 E932:E934 E937:E939 E972:E974 E977:E979 E1012:E1014 E1017:E1019 E1052:E1054 E1057:E1059 E1092:E1094 E1097:E1099 E1132:E1134 E1137:E1139 E1172:E1174 E1177:E1179 E1212:E1214 E1217:E1219 E1252:E1254 E1257:E1259 E1292:E1294 E1297:E1299 E1332:E1334 E1337:E1339 E1372:E1374 E1377:E1379 E1412:E1414 E1417:E1419 E1452:E1454 E1457:E1459 E1492:E1494 E1497:E1499 E1532:E1534 E1537:E1539 E1572:E1574 E1577:E1579 E1612:E1614 E1617:E1619 E1652:E1654 E1657:E1659 E1692:E1694 E1697:E1699 E1732:E1734 E1737:E1739 E1772:E1774 E1777:E1779 E1812:E1814 E1817:E1819 E1852:E1854 E1857:E1859 E1892:E1894 E1897:E1899 E1932:E1934 E1937:E1939 E1972:E1974 E1977:E1979 E2012:E2014 E2017:E2019 E2052:E2054 E2057:E2059 E2092:E2094 E2097:E2099 E2132:E2134 E2137:E2139 E2172:E2174 E2177:E2179 E2212:E2214 E2217:E2219 E2252:E2254 E2257:E2259 E2292:E2294 E2297:E2299 E2332:E2334 E2337:E2339 E2372:E2374 E2377:E2379 E2412:E2414 E2417:E2419">
    <cfRule type="cellIs" dxfId="0" priority="1" operator="greaterThan">
      <formula>0</formula>
    </cfRule>
  </conditionalFormatting>
  <conditionalFormatting sqref="E52:E54 E57:E59 E92:E94 E97:E99 E132:E134 E137:E139 E172:E174 E177:E179 E212:E214 E217:E219 E252:E254 E257:E259 E292:E294 E297:E299 E332:E334 E337:E339 E372:E374 E377:E379 E412:E414 E417:E419 E452:E454 E457:E459 E492:E494 E497:E499 E532:E534 E537:E539 E572:E574 E577:E579 E612:E614 E617:E619 E652:E654 E657:E659 E692:E694 E697:E699 E732:E734 E737:E739 E772:E774 E777:E779 E812:E814 E817:E819 E852:E854 E857:E859 E892:E894 E897:E899 E932:E934 E937:E939 E972:E974 E977:E979 E1012:E1014 E1017:E1019 E1052:E1054 E1057:E1059 E1092:E1094 E1097:E1099 E1132:E1134 E1137:E1139 E1172:E1174 E1177:E1179 E1212:E1214 E1217:E1219 E1252:E1254 E1257:E1259 E1292:E1294 E1297:E1299 E1332:E1334 E1337:E1339 E1372:E1374 E1377:E1379 E1412:E1414 E1417:E1419 E1452:E1454 E1457:E1459 E1492:E1494 E1497:E1499 E1532:E1534 E1537:E1539 E1572:E1574 E1577:E1579 E1612:E1614 E1617:E1619 E1652:E1654 E1657:E1659 E1692:E1694 E1697:E1699 E1732:E1734 E1737:E1739 E1772:E1774 E1777:E1779 E1812:E1814 E1817:E1819 E1852:E1854 E1857:E1859 E1892:E1894 E1897:E1899 E1932:E1934 E1937:E1939 E1972:E1974 E1977:E1979 E2012:E2014 E2017:E2019 E2052:E2054 E2057:E2059 E2092:E2094 E2097:E2099 E2132:E2134 E2137:E2139 E2172:E2174 E2177:E2179 E2212:E2214 E2217:E2219 E2252:E2254 E2257:E2259 E2292:E2294 E2297:E2299 E2332:E2334 E2337:E2339 E2372:E2374 E2377:E2379 E2412:E2414 E2417:E2419">
    <cfRule type="cellIs" dxfId="1" priority="2" operator="lessThan">
      <formula>0</formula>
    </cfRule>
  </conditionalFormatting>
  <conditionalFormatting sqref="H60 H100 H140 H180 H220 H260 H300 H340 H380 H420 H460 H500 H540 H580 H620 H660 H700 H740 H780 H820 H860 H900 H940 H980 H1020 H1060 H1100 H1140 H1180 H1220:H2420">
    <cfRule type="cellIs" dxfId="2" priority="3" operator="greaterThanOrEqual">
      <formula>0</formula>
    </cfRule>
  </conditionalFormatting>
  <conditionalFormatting sqref="H60 H100 H140 H180 H220 H260 H300 H340 H380 H420 H460 H500 H540 H580 H620 H660 H700 H740 H780 H820 H860 H900 H940 H980 H1020 H1060 H1100 H1140 H1180 H1220:H2420">
    <cfRule type="cellIs" dxfId="1" priority="4" operator="lessThan">
      <formula>0</formula>
    </cfRule>
  </conditionalFormatting>
  <conditionalFormatting sqref="E55 E95 E135 E175 E215 E255 E295 E335 E375 E415 E455 E495 E535 E575 E615 E655 E695 E735 E775 E815 E855 E895 E935 E975 E1015 E1055 E1095 E1135 E1175 E1215 E1255 E1295 E1335 E1375 E1415 E1455 E1495 E1535 E1575 E1615 E1655 E1695 E1735 E1775 E1815 E1855 E1895 E1935 E1975 E2015 E2055 E2095 E2135 E2175 E2215 E2255 E2295 E2335 E2375 E2415">
    <cfRule type="cellIs" dxfId="2" priority="5" operator="greaterThan">
      <formula>0</formula>
    </cfRule>
  </conditionalFormatting>
  <conditionalFormatting sqref="E55 E95 E135 E175 E215 E255 E295 E335 E375 E415 E455 E495 E535 E575 E615 E655 E695 E735 E775 E815 E855 E895 E935 E975 E1015 E1055 E1095 E1135 E1175 E1215 E1255 E1295 E1335 E1375 E1415 E1455 E1495 E1535 E1575 E1615 E1655 E1695 E1735 E1775 E1815 E1855 E1895 E1935 E1975 E2015 E2055 E2095 E2135 E2175 E2215 E2255 E2295 E2335 E2375 E2415">
    <cfRule type="cellIs" dxfId="3" priority="6" operator="lessThan">
      <formula>0</formula>
    </cfRule>
  </conditionalFormatting>
  <conditionalFormatting sqref="E60 E100 E140 E180 E220 E260 E300 E340 E380 E420 E460 E500 E540 E580 E620 E660 E700 E740 E780 E820 E860 E900 E940 E980 E1020 E1060 E1100 E1140 E1180 E1220:E2420">
    <cfRule type="cellIs" dxfId="2" priority="7" operator="greaterThan">
      <formula>0</formula>
    </cfRule>
  </conditionalFormatting>
  <conditionalFormatting sqref="E60 E100 E140 E180 E220 E260 E300 E340 E380 E420 E460 E500 E540 E580 E620 E660 E700 E740 E780 E820 E860 E900 E940 E980 E1020 E1060 E1100 E1140 E1180 E1220:E2420">
    <cfRule type="cellIs" dxfId="1" priority="8" operator="lessThan">
      <formula>0</formula>
    </cfRule>
  </conditionalFormatting>
  <conditionalFormatting sqref="H59 H99 H139 H179 H219 H259 H299 H339 H379 H419 H459 H499 H539 H579 H619 H659 H699 H739 H779 H819 H859 H899 H939 H979 H1019 H1059 H1099 H1139 H1179 H1219 H1259 H1299 H1339 H1379 H1419 H1459 H1499 H1539 H1579 H1619 H1659 H1699 H1739 H1779 H1819 H1859 H1899 H1939 H1979 H2019 H2059 H2099 H2139 H2179 H2219 H2259 H2299 H2339 H2379 H2419">
    <cfRule type="cellIs" dxfId="3" priority="9" operator="greaterThan">
      <formula>H32</formula>
    </cfRule>
  </conditionalFormatting>
  <conditionalFormatting sqref="H59 H99 H139 H179 H219 H259 H299 H339 H379 H419 H459 H499 H539 H579 H619 H659 H699 H739 H779 H819 H859 H899 H939 H979 H1019 H1059 H1099 H1139 H1179 H1219 H1259 H1299 H1339 H1379 H1419 H1459 H1499 H1539 H1579 H1619 H1659 H1699 H1739 H1779 H1819 H1859 H1899 H1939 H1979 H2019 H2059 H2099 H2139 H2179 H2219 H2259 H2299 H2339 H2379 H2419">
    <cfRule type="cellIs" dxfId="2" priority="10" operator="lessThan">
      <formula>H32</formula>
    </cfRule>
  </conditionalFormatting>
  <hyperlinks>
    <hyperlink display="A30" location="Backup!A20" ref="A1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2.29"/>
    <col customWidth="1" min="4" max="4" width="31.43"/>
    <col customWidth="1" min="5" max="5" width="12.29"/>
    <col customWidth="1" min="6" max="6" width="9.71"/>
    <col customWidth="1" min="7" max="7" width="32.71"/>
    <col customWidth="1" min="8" max="8" width="17.14"/>
    <col customWidth="1" min="9" max="9" width="13.71"/>
    <col customWidth="1" min="10" max="10" width="15.71"/>
    <col customWidth="1" min="11" max="11" width="12.29"/>
  </cols>
  <sheetData>
    <row r="2">
      <c r="A2" s="4" t="s">
        <v>140</v>
      </c>
    </row>
    <row r="3">
      <c r="A3" s="6" t="s">
        <v>70</v>
      </c>
      <c r="B3" s="7">
        <v>44078.5125</v>
      </c>
      <c r="C3" s="8"/>
      <c r="D3" s="9" t="s">
        <v>71</v>
      </c>
      <c r="E3" s="10"/>
      <c r="F3" s="10"/>
      <c r="G3" s="10"/>
      <c r="H3" s="10"/>
      <c r="I3" s="10"/>
      <c r="J3" s="10"/>
      <c r="K3" s="9"/>
      <c r="L3" s="10"/>
      <c r="M3" s="10"/>
      <c r="N3" s="10"/>
      <c r="O3" s="10"/>
      <c r="P3" s="11"/>
    </row>
    <row r="4">
      <c r="A4" s="12" t="s">
        <v>72</v>
      </c>
      <c r="B4" s="13">
        <v>1986000.0</v>
      </c>
      <c r="C4" s="14"/>
      <c r="D4" s="15">
        <f>B3</f>
        <v>44078.5125</v>
      </c>
      <c r="E4" s="16" t="s">
        <v>73</v>
      </c>
      <c r="F4" s="17"/>
      <c r="G4" s="16" t="s">
        <v>74</v>
      </c>
      <c r="H4" s="16" t="s">
        <v>75</v>
      </c>
      <c r="I4" s="16" t="s">
        <v>76</v>
      </c>
      <c r="J4" s="18" t="s">
        <v>77</v>
      </c>
      <c r="P4" s="19"/>
    </row>
    <row r="5">
      <c r="A5" s="12" t="s">
        <v>78</v>
      </c>
      <c r="B5" s="13">
        <v>885646.0</v>
      </c>
      <c r="C5" s="14"/>
      <c r="D5" s="20" t="s">
        <v>72</v>
      </c>
      <c r="E5" s="21">
        <f t="shared" ref="E5:E6" si="1">B4</f>
        <v>1986000</v>
      </c>
      <c r="F5" s="20" t="s">
        <v>79</v>
      </c>
      <c r="G5" s="21">
        <f t="shared" ref="G5:G6" si="2">B7</f>
        <v>4</v>
      </c>
      <c r="H5" s="4">
        <f>G5+(G6/60)</f>
        <v>4.166666667</v>
      </c>
      <c r="I5" s="21">
        <f>B12</f>
        <v>6</v>
      </c>
      <c r="J5" s="22" t="s">
        <v>80</v>
      </c>
      <c r="K5" s="23">
        <f>B14/B15</f>
        <v>9463.214286</v>
      </c>
      <c r="P5" s="19"/>
    </row>
    <row r="6">
      <c r="A6" s="12" t="s">
        <v>81</v>
      </c>
      <c r="B6" s="14"/>
      <c r="C6" s="14"/>
      <c r="D6" s="20" t="s">
        <v>78</v>
      </c>
      <c r="E6" s="21">
        <f t="shared" si="1"/>
        <v>885646</v>
      </c>
      <c r="F6" s="20" t="s">
        <v>82</v>
      </c>
      <c r="G6" s="21">
        <f t="shared" si="2"/>
        <v>10</v>
      </c>
      <c r="J6" s="22" t="s">
        <v>83</v>
      </c>
      <c r="K6" s="23">
        <f>B16/B17</f>
        <v>19860</v>
      </c>
      <c r="P6" s="19"/>
    </row>
    <row r="7">
      <c r="A7" s="24" t="s">
        <v>79</v>
      </c>
      <c r="B7" s="13">
        <v>4.0</v>
      </c>
      <c r="C7" s="14"/>
      <c r="D7" s="20" t="s">
        <v>84</v>
      </c>
      <c r="E7" s="25">
        <f>E5-E6</f>
        <v>1100354</v>
      </c>
      <c r="F7" s="26"/>
      <c r="G7" s="16" t="s">
        <v>85</v>
      </c>
      <c r="H7" s="16" t="s">
        <v>86</v>
      </c>
      <c r="I7" s="16" t="s">
        <v>87</v>
      </c>
      <c r="J7" s="22" t="s">
        <v>88</v>
      </c>
      <c r="K7" s="23">
        <f>B18/B19</f>
        <v>10712.61538</v>
      </c>
      <c r="P7" s="19"/>
    </row>
    <row r="8">
      <c r="A8" s="24" t="s">
        <v>89</v>
      </c>
      <c r="B8" s="13">
        <v>10.0</v>
      </c>
      <c r="C8" s="14"/>
      <c r="D8" s="16" t="s">
        <v>90</v>
      </c>
      <c r="F8" s="20" t="s">
        <v>79</v>
      </c>
      <c r="G8" s="21">
        <f t="shared" ref="G8:G9" si="3">B10</f>
        <v>3</v>
      </c>
      <c r="H8" s="25">
        <f>G8+(G9/60)</f>
        <v>3.1</v>
      </c>
      <c r="I8" s="25">
        <f>H5-H8</f>
        <v>1.066666667</v>
      </c>
      <c r="J8" s="22" t="s">
        <v>91</v>
      </c>
      <c r="K8" s="23">
        <f>B20/B21</f>
        <v>18336.30769</v>
      </c>
      <c r="P8" s="19"/>
    </row>
    <row r="9">
      <c r="A9" s="12" t="s">
        <v>85</v>
      </c>
      <c r="B9" s="27"/>
      <c r="C9" s="14"/>
      <c r="D9" s="28" t="s">
        <v>92</v>
      </c>
      <c r="E9" s="25">
        <f>E5/H14</f>
        <v>433309.0909</v>
      </c>
      <c r="F9" s="20" t="s">
        <v>82</v>
      </c>
      <c r="G9" s="21">
        <f t="shared" si="3"/>
        <v>6</v>
      </c>
      <c r="J9" s="22" t="s">
        <v>93</v>
      </c>
      <c r="K9" s="23">
        <f>B22/B23</f>
        <v>15275.81818</v>
      </c>
      <c r="P9" s="19"/>
    </row>
    <row r="10">
      <c r="A10" s="24" t="s">
        <v>79</v>
      </c>
      <c r="B10" s="13">
        <v>3.0</v>
      </c>
      <c r="C10" s="14"/>
      <c r="D10" s="28" t="s">
        <v>94</v>
      </c>
      <c r="E10" s="25">
        <f>E5/I5</f>
        <v>331000</v>
      </c>
      <c r="J10" s="22" t="s">
        <v>95</v>
      </c>
      <c r="K10" s="23">
        <f>B24/B25</f>
        <v>17200</v>
      </c>
      <c r="P10" s="19"/>
    </row>
    <row r="11">
      <c r="A11" s="24" t="s">
        <v>89</v>
      </c>
      <c r="B11" s="13">
        <v>6.0</v>
      </c>
      <c r="C11" s="14"/>
      <c r="D11" s="28" t="s">
        <v>96</v>
      </c>
      <c r="E11" s="25">
        <f>E9/I5</f>
        <v>72218.18182</v>
      </c>
      <c r="J11" s="29" t="s">
        <v>97</v>
      </c>
      <c r="K11" s="30">
        <f>SUM(K5:K10)</f>
        <v>90847.95554</v>
      </c>
      <c r="P11" s="19"/>
    </row>
    <row r="12">
      <c r="A12" s="12" t="s">
        <v>98</v>
      </c>
      <c r="B12" s="13">
        <v>6.0</v>
      </c>
      <c r="C12" s="14"/>
      <c r="D12" s="28" t="s">
        <v>99</v>
      </c>
      <c r="E12" s="31">
        <f>E11/12</f>
        <v>6018.181818</v>
      </c>
      <c r="I12" s="29"/>
      <c r="J12" s="29" t="s">
        <v>100</v>
      </c>
      <c r="K12" s="30">
        <f>H22</f>
        <v>61817.64045</v>
      </c>
      <c r="P12" s="19"/>
    </row>
    <row r="13">
      <c r="A13" s="32"/>
      <c r="B13" s="14"/>
      <c r="C13" s="14"/>
      <c r="D13" s="28" t="s">
        <v>101</v>
      </c>
      <c r="E13" s="25">
        <f>E12*5</f>
        <v>30090.90909</v>
      </c>
      <c r="J13" s="29" t="s">
        <v>102</v>
      </c>
      <c r="K13" s="30">
        <f>E14</f>
        <v>36109.09091</v>
      </c>
      <c r="P13" s="19"/>
    </row>
    <row r="14">
      <c r="A14" s="33" t="s">
        <v>103</v>
      </c>
      <c r="B14" s="34">
        <v>132485.0</v>
      </c>
      <c r="C14" s="14"/>
      <c r="D14" s="28" t="s">
        <v>104</v>
      </c>
      <c r="E14" s="25">
        <f>E12*6</f>
        <v>36109.09091</v>
      </c>
      <c r="G14" s="35" t="s">
        <v>105</v>
      </c>
      <c r="H14" s="36">
        <f>H5+(25/60)</f>
        <v>4.583333333</v>
      </c>
      <c r="J14" s="29" t="s">
        <v>106</v>
      </c>
      <c r="K14" s="30">
        <f>E22</f>
        <v>23807.68817</v>
      </c>
      <c r="P14" s="19"/>
    </row>
    <row r="15">
      <c r="A15" s="37" t="s">
        <v>107</v>
      </c>
      <c r="B15" s="38">
        <v>14.0</v>
      </c>
      <c r="C15" s="14"/>
      <c r="G15" s="35" t="s">
        <v>108</v>
      </c>
      <c r="H15" s="36">
        <f>I8+(25/60)</f>
        <v>1.483333333</v>
      </c>
      <c r="I15" s="39" t="s">
        <v>109</v>
      </c>
      <c r="P15" s="19"/>
    </row>
    <row r="16">
      <c r="A16" s="40" t="s">
        <v>110</v>
      </c>
      <c r="B16" s="13">
        <v>198600.0</v>
      </c>
      <c r="C16" s="14"/>
      <c r="D16" s="16" t="s">
        <v>111</v>
      </c>
      <c r="G16" s="16" t="s">
        <v>112</v>
      </c>
      <c r="H16" s="36"/>
      <c r="I16" s="39" t="s">
        <v>113</v>
      </c>
      <c r="P16" s="19"/>
    </row>
    <row r="17">
      <c r="A17" s="37" t="s">
        <v>114</v>
      </c>
      <c r="B17" s="38">
        <v>10.0</v>
      </c>
      <c r="C17" s="14"/>
      <c r="D17" s="28" t="s">
        <v>92</v>
      </c>
      <c r="E17" s="25">
        <f>E6/H8</f>
        <v>285692.2581</v>
      </c>
      <c r="G17" s="28" t="s">
        <v>92</v>
      </c>
      <c r="H17" s="36">
        <f>E7/H15</f>
        <v>741811.6854</v>
      </c>
      <c r="I17" s="39" t="s">
        <v>115</v>
      </c>
      <c r="P17" s="19"/>
    </row>
    <row r="18">
      <c r="A18" s="40" t="s">
        <v>116</v>
      </c>
      <c r="B18" s="13">
        <v>139264.0</v>
      </c>
      <c r="C18" s="14"/>
      <c r="D18" s="28" t="s">
        <v>94</v>
      </c>
      <c r="E18" s="25">
        <f>E6/I5</f>
        <v>147607.6667</v>
      </c>
      <c r="G18" s="28" t="s">
        <v>94</v>
      </c>
      <c r="H18" s="36">
        <f>E7/I5</f>
        <v>183392.3333</v>
      </c>
      <c r="I18" s="39" t="s">
        <v>117</v>
      </c>
      <c r="P18" s="19"/>
    </row>
    <row r="19">
      <c r="A19" s="37" t="s">
        <v>118</v>
      </c>
      <c r="B19" s="38">
        <v>13.0</v>
      </c>
      <c r="C19" s="14"/>
      <c r="D19" s="28" t="s">
        <v>96</v>
      </c>
      <c r="E19" s="25">
        <f>E18/H8</f>
        <v>47615.37634</v>
      </c>
      <c r="G19" s="28" t="s">
        <v>96</v>
      </c>
      <c r="H19" s="36">
        <f>H18/H15</f>
        <v>123635.2809</v>
      </c>
      <c r="P19" s="19"/>
    </row>
    <row r="20">
      <c r="A20" s="40" t="s">
        <v>119</v>
      </c>
      <c r="B20" s="13">
        <v>238372.0</v>
      </c>
      <c r="C20" s="14"/>
      <c r="D20" s="28" t="s">
        <v>99</v>
      </c>
      <c r="E20" s="25">
        <f>E19/12</f>
        <v>3967.948029</v>
      </c>
      <c r="G20" s="28" t="s">
        <v>99</v>
      </c>
      <c r="H20" s="36">
        <f>H19/12</f>
        <v>10302.94007</v>
      </c>
      <c r="P20" s="19"/>
    </row>
    <row r="21">
      <c r="A21" s="37" t="s">
        <v>120</v>
      </c>
      <c r="B21" s="38">
        <v>13.0</v>
      </c>
      <c r="C21" s="14"/>
      <c r="D21" s="28" t="s">
        <v>101</v>
      </c>
      <c r="E21" s="25">
        <f>E20*5</f>
        <v>19839.74014</v>
      </c>
      <c r="G21" s="28" t="s">
        <v>101</v>
      </c>
      <c r="H21" s="36">
        <f>H20*5</f>
        <v>51514.70037</v>
      </c>
      <c r="P21" s="19"/>
    </row>
    <row r="22">
      <c r="A22" s="40" t="s">
        <v>121</v>
      </c>
      <c r="B22" s="13">
        <v>168034.0</v>
      </c>
      <c r="C22" s="14"/>
      <c r="D22" s="28" t="s">
        <v>104</v>
      </c>
      <c r="E22" s="25">
        <f>E20*6</f>
        <v>23807.68817</v>
      </c>
      <c r="G22" s="28" t="s">
        <v>104</v>
      </c>
      <c r="H22" s="36">
        <f>H20*6</f>
        <v>61817.64045</v>
      </c>
      <c r="P22" s="19"/>
    </row>
    <row r="23">
      <c r="A23" s="37" t="s">
        <v>122</v>
      </c>
      <c r="B23" s="38">
        <v>11.0</v>
      </c>
      <c r="C23" s="14"/>
      <c r="P23" s="19"/>
    </row>
    <row r="24">
      <c r="A24" s="40" t="s">
        <v>123</v>
      </c>
      <c r="B24" s="13">
        <v>223600.0</v>
      </c>
      <c r="C24" s="14"/>
      <c r="D24" s="28" t="s">
        <v>124</v>
      </c>
      <c r="E24" s="41"/>
      <c r="F24" s="41"/>
      <c r="P24" s="19"/>
    </row>
    <row r="25">
      <c r="A25" s="37" t="s">
        <v>125</v>
      </c>
      <c r="B25" s="38">
        <v>13.0</v>
      </c>
      <c r="C25" s="14"/>
      <c r="D25" s="4" t="s">
        <v>126</v>
      </c>
      <c r="E25" s="25">
        <f t="shared" ref="E25:E28" si="4">H19-E19</f>
        <v>76019.90455</v>
      </c>
      <c r="P25" s="19"/>
    </row>
    <row r="26">
      <c r="A26" s="42" t="s">
        <v>127</v>
      </c>
      <c r="C26" s="14"/>
      <c r="D26" s="4" t="s">
        <v>128</v>
      </c>
      <c r="E26" s="25">
        <f t="shared" si="4"/>
        <v>6334.992046</v>
      </c>
      <c r="P26" s="19"/>
    </row>
    <row r="27">
      <c r="A27" s="32"/>
      <c r="C27" s="14"/>
      <c r="D27" s="4" t="s">
        <v>129</v>
      </c>
      <c r="E27" s="25">
        <f t="shared" si="4"/>
        <v>31674.96023</v>
      </c>
      <c r="G27" s="43"/>
      <c r="P27" s="19"/>
    </row>
    <row r="28">
      <c r="A28" s="32"/>
      <c r="C28" s="14"/>
      <c r="D28" s="4" t="s">
        <v>130</v>
      </c>
      <c r="E28" s="25">
        <f t="shared" si="4"/>
        <v>38009.95228</v>
      </c>
      <c r="P28" s="19"/>
    </row>
    <row r="29">
      <c r="A29" s="24"/>
      <c r="C29" s="14"/>
      <c r="D29" s="28" t="s">
        <v>131</v>
      </c>
      <c r="P29" s="19"/>
    </row>
    <row r="30">
      <c r="A30" s="32"/>
      <c r="C30" s="14"/>
      <c r="D30" s="4" t="s">
        <v>132</v>
      </c>
      <c r="E30" s="25">
        <f t="shared" ref="E30:E33" si="5">H19-E11</f>
        <v>51417.09908</v>
      </c>
      <c r="P30" s="19"/>
    </row>
    <row r="31">
      <c r="A31" s="32"/>
      <c r="C31" s="14"/>
      <c r="D31" s="4" t="s">
        <v>133</v>
      </c>
      <c r="E31" s="25">
        <f t="shared" si="5"/>
        <v>4284.758257</v>
      </c>
      <c r="G31" s="28" t="s">
        <v>134</v>
      </c>
      <c r="I31" s="35" t="s">
        <v>135</v>
      </c>
      <c r="J31" s="35" t="s">
        <v>82</v>
      </c>
      <c r="P31" s="19"/>
    </row>
    <row r="32">
      <c r="A32" s="32"/>
      <c r="C32" s="14"/>
      <c r="D32" s="4" t="s">
        <v>136</v>
      </c>
      <c r="E32" s="25">
        <f t="shared" si="5"/>
        <v>21423.79128</v>
      </c>
      <c r="G32" s="35" t="s">
        <v>137</v>
      </c>
      <c r="H32" s="25">
        <f>(E5/H17)-(25/60)</f>
        <v>2.260562661</v>
      </c>
      <c r="I32" s="25">
        <f t="shared" ref="I32:I33" si="6">INT(H32)</f>
        <v>2</v>
      </c>
      <c r="J32" s="36">
        <f t="shared" ref="J32:J33" si="7">INT((H32-I32)*60)</f>
        <v>15</v>
      </c>
      <c r="P32" s="19"/>
    </row>
    <row r="33">
      <c r="A33" s="44"/>
      <c r="B33" s="45"/>
      <c r="C33" s="46"/>
      <c r="D33" s="47" t="s">
        <v>138</v>
      </c>
      <c r="E33" s="45">
        <f t="shared" si="5"/>
        <v>25708.54954</v>
      </c>
      <c r="F33" s="45"/>
      <c r="G33" s="48" t="s">
        <v>139</v>
      </c>
      <c r="H33" s="45">
        <f>H5-H32</f>
        <v>1.906104005</v>
      </c>
      <c r="I33" s="45">
        <f t="shared" si="6"/>
        <v>1</v>
      </c>
      <c r="J33" s="49">
        <f t="shared" si="7"/>
        <v>54</v>
      </c>
      <c r="K33" s="45"/>
      <c r="L33" s="45"/>
      <c r="M33" s="45"/>
      <c r="N33" s="45"/>
      <c r="O33" s="45"/>
      <c r="P33" s="50"/>
    </row>
  </sheetData>
  <conditionalFormatting sqref="E25:E27 E30:E32">
    <cfRule type="cellIs" dxfId="0" priority="1" operator="greaterThan">
      <formula>0</formula>
    </cfRule>
  </conditionalFormatting>
  <conditionalFormatting sqref="E25:E27 E30:E32">
    <cfRule type="cellIs" dxfId="1" priority="2" operator="lessThan">
      <formula>0</formula>
    </cfRule>
  </conditionalFormatting>
  <conditionalFormatting sqref="H33">
    <cfRule type="cellIs" dxfId="2" priority="3" operator="greaterThanOrEqual">
      <formula>0</formula>
    </cfRule>
  </conditionalFormatting>
  <conditionalFormatting sqref="H33">
    <cfRule type="cellIs" dxfId="1" priority="4" operator="lessThan">
      <formula>0</formula>
    </cfRule>
  </conditionalFormatting>
  <conditionalFormatting sqref="E28">
    <cfRule type="cellIs" dxfId="2" priority="5" operator="greaterThan">
      <formula>0</formula>
    </cfRule>
  </conditionalFormatting>
  <conditionalFormatting sqref="E28">
    <cfRule type="cellIs" dxfId="3" priority="6" operator="lessThan">
      <formula>0</formula>
    </cfRule>
  </conditionalFormatting>
  <conditionalFormatting sqref="E33">
    <cfRule type="cellIs" dxfId="2" priority="7" operator="greaterThan">
      <formula>0</formula>
    </cfRule>
  </conditionalFormatting>
  <conditionalFormatting sqref="E33">
    <cfRule type="cellIs" dxfId="1" priority="8" operator="lessThan">
      <formula>0</formula>
    </cfRule>
  </conditionalFormatting>
  <conditionalFormatting sqref="H32">
    <cfRule type="cellIs" dxfId="3" priority="9" operator="greaterThan">
      <formula>H5</formula>
    </cfRule>
  </conditionalFormatting>
  <conditionalFormatting sqref="H32">
    <cfRule type="cellIs" dxfId="2" priority="10" operator="lessThan">
      <formula>H5</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43"/>
    <col customWidth="1" min="2" max="2" width="14.29"/>
    <col customWidth="1" min="3" max="3" width="14.0"/>
    <col customWidth="1" min="4" max="4" width="34.0"/>
    <col customWidth="1" min="5" max="5" width="12.0"/>
    <col customWidth="1" min="6" max="6" width="9.57"/>
    <col customWidth="1" min="7" max="7" width="33.43"/>
    <col customWidth="1" min="8" max="8" width="16.71"/>
  </cols>
  <sheetData>
    <row r="1">
      <c r="A1" s="28" t="s">
        <v>141</v>
      </c>
    </row>
    <row r="2">
      <c r="A2" s="35" t="s">
        <v>1</v>
      </c>
    </row>
    <row r="3">
      <c r="A3" s="35" t="s">
        <v>2</v>
      </c>
    </row>
    <row r="4">
      <c r="A4" s="35" t="s">
        <v>3</v>
      </c>
    </row>
    <row r="5">
      <c r="A5" s="28" t="s">
        <v>4</v>
      </c>
    </row>
    <row r="6">
      <c r="A6" s="4" t="s">
        <v>5</v>
      </c>
    </row>
    <row r="7">
      <c r="A7" s="35" t="s">
        <v>6</v>
      </c>
    </row>
    <row r="8">
      <c r="A8" s="35" t="s">
        <v>7</v>
      </c>
    </row>
    <row r="9">
      <c r="A9" s="35" t="s">
        <v>8</v>
      </c>
      <c r="E9" s="35"/>
    </row>
    <row r="10" ht="52.5" customHeight="1">
      <c r="A10" s="4" t="s">
        <v>142</v>
      </c>
    </row>
    <row r="11">
      <c r="A11" s="5" t="s">
        <v>143</v>
      </c>
      <c r="B11" s="5" t="s">
        <v>144</v>
      </c>
      <c r="C11" s="5" t="s">
        <v>145</v>
      </c>
      <c r="D11" s="5" t="s">
        <v>31</v>
      </c>
    </row>
    <row r="12">
      <c r="A12" s="5" t="s">
        <v>146</v>
      </c>
      <c r="B12" s="5" t="s">
        <v>147</v>
      </c>
      <c r="C12" s="5" t="s">
        <v>66</v>
      </c>
      <c r="D12" s="5" t="s">
        <v>148</v>
      </c>
    </row>
    <row r="13">
      <c r="A13" s="5" t="s">
        <v>149</v>
      </c>
      <c r="B13" s="5" t="s">
        <v>42</v>
      </c>
      <c r="C13" s="5" t="s">
        <v>150</v>
      </c>
      <c r="D13" s="5" t="s">
        <v>151</v>
      </c>
    </row>
    <row r="14">
      <c r="A14" s="5" t="s">
        <v>18</v>
      </c>
      <c r="B14" s="5" t="s">
        <v>152</v>
      </c>
      <c r="C14" s="5" t="s">
        <v>153</v>
      </c>
      <c r="D14" s="5" t="s">
        <v>154</v>
      </c>
    </row>
    <row r="15">
      <c r="A15" s="5" t="s">
        <v>155</v>
      </c>
      <c r="B15" s="5" t="s">
        <v>156</v>
      </c>
      <c r="C15" s="5" t="s">
        <v>157</v>
      </c>
      <c r="D15" s="5" t="s">
        <v>43</v>
      </c>
    </row>
    <row r="16">
      <c r="A16" s="5" t="s">
        <v>158</v>
      </c>
      <c r="B16" s="5" t="s">
        <v>159</v>
      </c>
      <c r="C16" s="5" t="s">
        <v>19</v>
      </c>
      <c r="D16" s="5" t="s">
        <v>160</v>
      </c>
    </row>
    <row r="17">
      <c r="A17" s="5" t="s">
        <v>161</v>
      </c>
      <c r="B17" s="5" t="s">
        <v>54</v>
      </c>
      <c r="C17" s="5" t="s">
        <v>162</v>
      </c>
      <c r="D17" s="5" t="s">
        <v>163</v>
      </c>
    </row>
    <row r="18">
      <c r="A18" s="5" t="s">
        <v>30</v>
      </c>
      <c r="B18" s="5" t="s">
        <v>164</v>
      </c>
      <c r="C18" s="5" t="s">
        <v>165</v>
      </c>
      <c r="D18" s="55"/>
    </row>
    <row r="19">
      <c r="A19" s="5" t="s">
        <v>166</v>
      </c>
      <c r="B19" s="5" t="s">
        <v>167</v>
      </c>
      <c r="C19" s="5" t="s">
        <v>168</v>
      </c>
      <c r="D19" s="55"/>
    </row>
    <row r="20">
      <c r="A20" s="6" t="s">
        <v>70</v>
      </c>
      <c r="B20" s="34" t="s">
        <v>169</v>
      </c>
      <c r="C20" s="10"/>
      <c r="D20" s="9" t="s">
        <v>71</v>
      </c>
      <c r="E20" s="10"/>
      <c r="F20" s="10"/>
      <c r="G20" s="10"/>
      <c r="H20" s="10"/>
      <c r="I20" s="11"/>
    </row>
    <row r="21">
      <c r="A21" s="12" t="s">
        <v>72</v>
      </c>
      <c r="B21" s="13">
        <v>2012000.0</v>
      </c>
      <c r="D21" s="56" t="str">
        <f>B20</f>
        <v>Test Date</v>
      </c>
      <c r="E21" s="16" t="s">
        <v>73</v>
      </c>
      <c r="F21" s="17"/>
      <c r="G21" s="16" t="s">
        <v>74</v>
      </c>
      <c r="H21" s="16" t="s">
        <v>75</v>
      </c>
      <c r="I21" s="57" t="s">
        <v>76</v>
      </c>
    </row>
    <row r="22">
      <c r="A22" s="12" t="s">
        <v>78</v>
      </c>
      <c r="B22" s="13">
        <v>1774514.0</v>
      </c>
      <c r="D22" s="20" t="s">
        <v>72</v>
      </c>
      <c r="E22" s="21">
        <f t="shared" ref="E22:E23" si="1">B21</f>
        <v>2012000</v>
      </c>
      <c r="F22" s="20" t="s">
        <v>79</v>
      </c>
      <c r="G22" s="21">
        <f t="shared" ref="G22:G23" si="2">B24</f>
        <v>4</v>
      </c>
      <c r="H22" s="4">
        <f>G22+(G23/60)</f>
        <v>4.166666667</v>
      </c>
      <c r="I22" s="58">
        <f>B29</f>
        <v>4</v>
      </c>
    </row>
    <row r="23">
      <c r="A23" s="12" t="s">
        <v>81</v>
      </c>
      <c r="B23" s="14"/>
      <c r="D23" s="20" t="s">
        <v>78</v>
      </c>
      <c r="E23" s="21">
        <f t="shared" si="1"/>
        <v>1774514</v>
      </c>
      <c r="F23" s="20" t="s">
        <v>82</v>
      </c>
      <c r="G23" s="21">
        <f t="shared" si="2"/>
        <v>10</v>
      </c>
      <c r="I23" s="19"/>
    </row>
    <row r="24">
      <c r="A24" s="24" t="s">
        <v>79</v>
      </c>
      <c r="B24" s="13">
        <v>4.0</v>
      </c>
      <c r="D24" s="20" t="s">
        <v>84</v>
      </c>
      <c r="E24" s="25">
        <f>E22-E23</f>
        <v>237486</v>
      </c>
      <c r="F24" s="26"/>
      <c r="G24" s="16" t="s">
        <v>85</v>
      </c>
      <c r="H24" s="16" t="s">
        <v>86</v>
      </c>
      <c r="I24" s="57" t="s">
        <v>87</v>
      </c>
    </row>
    <row r="25">
      <c r="A25" s="24" t="s">
        <v>89</v>
      </c>
      <c r="B25" s="13">
        <v>10.0</v>
      </c>
      <c r="D25" s="51"/>
      <c r="F25" s="20" t="s">
        <v>79</v>
      </c>
      <c r="G25" s="21">
        <f t="shared" ref="G25:G26" si="3">B27</f>
        <v>3</v>
      </c>
      <c r="H25" s="25">
        <f>G25+(G26/60)</f>
        <v>20.46666667</v>
      </c>
      <c r="I25" s="19">
        <f>H22-H25</f>
        <v>-16.3</v>
      </c>
    </row>
    <row r="26">
      <c r="A26" s="12" t="s">
        <v>85</v>
      </c>
      <c r="B26" s="27"/>
      <c r="D26" s="51"/>
      <c r="F26" s="20" t="s">
        <v>82</v>
      </c>
      <c r="G26" s="21">
        <f t="shared" si="3"/>
        <v>1048</v>
      </c>
      <c r="I26" s="19"/>
    </row>
    <row r="27">
      <c r="A27" s="24" t="s">
        <v>79</v>
      </c>
      <c r="B27" s="13">
        <v>3.0</v>
      </c>
      <c r="D27" s="16" t="s">
        <v>170</v>
      </c>
      <c r="I27" s="19"/>
    </row>
    <row r="28">
      <c r="A28" s="24" t="s">
        <v>89</v>
      </c>
      <c r="B28" s="13">
        <v>1048.0</v>
      </c>
      <c r="D28" s="16" t="s">
        <v>92</v>
      </c>
      <c r="E28" s="25">
        <f>E22/H32</f>
        <v>438981.8182</v>
      </c>
      <c r="I28" s="19"/>
    </row>
    <row r="29">
      <c r="A29" s="12" t="s">
        <v>98</v>
      </c>
      <c r="B29" s="13">
        <v>4.0</v>
      </c>
      <c r="D29" s="16" t="s">
        <v>94</v>
      </c>
      <c r="E29" s="25">
        <f>E22/I22</f>
        <v>503000</v>
      </c>
      <c r="I29" s="19"/>
    </row>
    <row r="30">
      <c r="A30" s="32"/>
      <c r="D30" s="16" t="s">
        <v>96</v>
      </c>
      <c r="E30" s="25">
        <f>E28/I22</f>
        <v>109745.4545</v>
      </c>
      <c r="F30" s="4"/>
      <c r="G30" s="4"/>
      <c r="H30" s="4"/>
      <c r="I30" s="59"/>
    </row>
    <row r="31">
      <c r="A31" s="60"/>
      <c r="D31" s="16" t="s">
        <v>99</v>
      </c>
      <c r="E31" s="25">
        <f>E30/12</f>
        <v>9145.454545</v>
      </c>
      <c r="F31" s="4" t="s">
        <v>171</v>
      </c>
      <c r="I31" s="59"/>
    </row>
    <row r="32">
      <c r="A32" s="61"/>
      <c r="D32" s="16" t="s">
        <v>101</v>
      </c>
      <c r="E32" s="25">
        <f>E31*5</f>
        <v>45727.27273</v>
      </c>
      <c r="F32" s="4" t="s">
        <v>171</v>
      </c>
      <c r="G32" s="35" t="s">
        <v>105</v>
      </c>
      <c r="H32" s="25">
        <f>H22+(25/60)</f>
        <v>4.583333333</v>
      </c>
      <c r="I32" s="19"/>
    </row>
    <row r="33">
      <c r="A33" s="61"/>
      <c r="D33" s="17"/>
      <c r="G33" s="35" t="s">
        <v>108</v>
      </c>
      <c r="H33" s="25">
        <f>I25+(25/60)</f>
        <v>-15.88333333</v>
      </c>
      <c r="I33" s="19"/>
    </row>
    <row r="34">
      <c r="A34" s="61"/>
      <c r="D34" s="16" t="s">
        <v>111</v>
      </c>
      <c r="G34" s="16" t="s">
        <v>112</v>
      </c>
      <c r="I34" s="19"/>
    </row>
    <row r="35">
      <c r="A35" s="61"/>
      <c r="D35" s="16" t="s">
        <v>92</v>
      </c>
      <c r="E35" s="25">
        <f>E23/H25</f>
        <v>86702.63844</v>
      </c>
      <c r="G35" s="16" t="s">
        <v>92</v>
      </c>
      <c r="H35" s="25">
        <f>E24/H33</f>
        <v>-14951.89927</v>
      </c>
      <c r="I35" s="19"/>
    </row>
    <row r="36">
      <c r="A36" s="61"/>
      <c r="D36" s="16" t="s">
        <v>94</v>
      </c>
      <c r="E36" s="25">
        <f>E23/I22</f>
        <v>443628.5</v>
      </c>
      <c r="G36" s="16" t="s">
        <v>94</v>
      </c>
      <c r="H36" s="25">
        <f>E24/I22</f>
        <v>59371.5</v>
      </c>
      <c r="I36" s="19"/>
    </row>
    <row r="37">
      <c r="A37" s="60"/>
      <c r="D37" s="16" t="s">
        <v>96</v>
      </c>
      <c r="E37" s="25">
        <f>E36/H25</f>
        <v>21675.65961</v>
      </c>
      <c r="G37" s="16" t="s">
        <v>96</v>
      </c>
      <c r="H37" s="25">
        <f>H36/H33</f>
        <v>-3737.974816</v>
      </c>
      <c r="I37" s="19"/>
    </row>
    <row r="38">
      <c r="A38" s="32"/>
      <c r="D38" s="16" t="s">
        <v>99</v>
      </c>
      <c r="E38" s="25">
        <f>E37/12</f>
        <v>1806.304967</v>
      </c>
      <c r="G38" s="16" t="s">
        <v>99</v>
      </c>
      <c r="H38" s="25">
        <f>H37/12</f>
        <v>-311.4979014</v>
      </c>
      <c r="I38" s="19"/>
    </row>
    <row r="39">
      <c r="A39" s="42"/>
      <c r="D39" s="16" t="s">
        <v>101</v>
      </c>
      <c r="E39" s="25">
        <f>E38*5</f>
        <v>9031.524837</v>
      </c>
      <c r="G39" s="16" t="s">
        <v>101</v>
      </c>
      <c r="H39" s="25">
        <f>H38*5</f>
        <v>-1557.489507</v>
      </c>
      <c r="I39" s="19"/>
    </row>
    <row r="40">
      <c r="A40" s="42"/>
      <c r="I40" s="19"/>
    </row>
    <row r="41">
      <c r="A41" s="42"/>
      <c r="D41" s="28" t="s">
        <v>124</v>
      </c>
      <c r="E41" s="41"/>
      <c r="F41" s="41"/>
      <c r="I41" s="19"/>
    </row>
    <row r="42">
      <c r="A42" s="42"/>
      <c r="D42" s="4" t="s">
        <v>126</v>
      </c>
      <c r="E42" s="25">
        <f t="shared" ref="E42:E44" si="4">H37-E37</f>
        <v>-25413.63443</v>
      </c>
      <c r="I42" s="19"/>
    </row>
    <row r="43">
      <c r="A43" s="42"/>
      <c r="D43" s="4" t="s">
        <v>128</v>
      </c>
      <c r="E43" s="25">
        <f t="shared" si="4"/>
        <v>-2117.802869</v>
      </c>
      <c r="I43" s="19"/>
    </row>
    <row r="44">
      <c r="A44" s="32"/>
      <c r="D44" s="4" t="s">
        <v>129</v>
      </c>
      <c r="E44" s="25">
        <f t="shared" si="4"/>
        <v>-10589.01434</v>
      </c>
      <c r="G44" s="43"/>
      <c r="I44" s="19"/>
    </row>
    <row r="45">
      <c r="A45" s="32"/>
      <c r="D45" s="28" t="s">
        <v>131</v>
      </c>
      <c r="I45" s="19"/>
    </row>
    <row r="46">
      <c r="A46" s="32"/>
      <c r="D46" s="4" t="s">
        <v>132</v>
      </c>
      <c r="E46" s="25">
        <f t="shared" ref="E46:E48" si="5">H37-E30</f>
        <v>-113483.4294</v>
      </c>
      <c r="G46" s="28" t="s">
        <v>134</v>
      </c>
      <c r="I46" s="19"/>
    </row>
    <row r="47">
      <c r="A47" s="32"/>
      <c r="D47" s="4" t="s">
        <v>133</v>
      </c>
      <c r="E47" s="25">
        <f t="shared" si="5"/>
        <v>-9456.952447</v>
      </c>
      <c r="G47" s="35" t="s">
        <v>137</v>
      </c>
      <c r="H47" s="25">
        <f>E32/H35</f>
        <v>-3.058291921</v>
      </c>
      <c r="I47" s="19"/>
    </row>
    <row r="48">
      <c r="A48" s="44"/>
      <c r="B48" s="45"/>
      <c r="C48" s="45"/>
      <c r="D48" s="47" t="s">
        <v>136</v>
      </c>
      <c r="E48" s="45">
        <f t="shared" si="5"/>
        <v>-47284.76223</v>
      </c>
      <c r="F48" s="45"/>
      <c r="G48" s="48" t="s">
        <v>139</v>
      </c>
      <c r="H48" s="45">
        <f>H22-H47</f>
        <v>7.224958588</v>
      </c>
      <c r="I48" s="50"/>
    </row>
    <row r="50">
      <c r="A50" s="6" t="s">
        <v>70</v>
      </c>
      <c r="B50" s="34" t="s">
        <v>169</v>
      </c>
      <c r="C50" s="10"/>
      <c r="D50" s="9" t="s">
        <v>71</v>
      </c>
      <c r="E50" s="10"/>
      <c r="F50" s="10"/>
      <c r="G50" s="10"/>
      <c r="H50" s="10"/>
      <c r="I50" s="11"/>
    </row>
    <row r="51">
      <c r="A51" s="12" t="s">
        <v>72</v>
      </c>
      <c r="B51" s="13">
        <v>1000000.0</v>
      </c>
      <c r="D51" s="56" t="str">
        <f>B50</f>
        <v>Test Date</v>
      </c>
      <c r="E51" s="16" t="s">
        <v>73</v>
      </c>
      <c r="F51" s="17"/>
      <c r="G51" s="16" t="s">
        <v>74</v>
      </c>
      <c r="H51" s="16" t="s">
        <v>75</v>
      </c>
      <c r="I51" s="57" t="s">
        <v>76</v>
      </c>
    </row>
    <row r="52">
      <c r="A52" s="12" t="s">
        <v>78</v>
      </c>
      <c r="B52" s="13">
        <v>0.0</v>
      </c>
      <c r="D52" s="20" t="s">
        <v>72</v>
      </c>
      <c r="E52" s="21">
        <f t="shared" ref="E52:E53" si="6">B51</f>
        <v>1000000</v>
      </c>
      <c r="F52" s="20" t="s">
        <v>79</v>
      </c>
      <c r="G52" s="21">
        <f t="shared" ref="G52:G53" si="7">B54</f>
        <v>4</v>
      </c>
      <c r="H52" s="4">
        <f>G52+(G53/60)</f>
        <v>4.166666667</v>
      </c>
      <c r="I52" s="58">
        <f>B59</f>
        <v>6</v>
      </c>
    </row>
    <row r="53">
      <c r="A53" s="12" t="s">
        <v>81</v>
      </c>
      <c r="B53" s="14"/>
      <c r="D53" s="20" t="s">
        <v>78</v>
      </c>
      <c r="E53" s="21">
        <f t="shared" si="6"/>
        <v>0</v>
      </c>
      <c r="F53" s="20" t="s">
        <v>82</v>
      </c>
      <c r="G53" s="21">
        <f t="shared" si="7"/>
        <v>10</v>
      </c>
      <c r="I53" s="19"/>
    </row>
    <row r="54">
      <c r="A54" s="24" t="s">
        <v>79</v>
      </c>
      <c r="B54" s="13">
        <v>4.0</v>
      </c>
      <c r="D54" s="20" t="s">
        <v>84</v>
      </c>
      <c r="E54" s="25">
        <f>E52-E53</f>
        <v>1000000</v>
      </c>
      <c r="F54" s="26"/>
      <c r="G54" s="16" t="s">
        <v>85</v>
      </c>
      <c r="H54" s="16" t="s">
        <v>86</v>
      </c>
      <c r="I54" s="57" t="s">
        <v>87</v>
      </c>
    </row>
    <row r="55">
      <c r="A55" s="24" t="s">
        <v>89</v>
      </c>
      <c r="B55" s="13">
        <v>10.0</v>
      </c>
      <c r="D55" s="51"/>
      <c r="F55" s="20" t="s">
        <v>79</v>
      </c>
      <c r="G55" s="21">
        <f t="shared" ref="G55:G56" si="8">B57</f>
        <v>4</v>
      </c>
      <c r="H55" s="25">
        <f>G55+(G56/60)</f>
        <v>4.166666667</v>
      </c>
      <c r="I55" s="19">
        <f>H52-H55</f>
        <v>0</v>
      </c>
    </row>
    <row r="56">
      <c r="A56" s="12" t="s">
        <v>85</v>
      </c>
      <c r="B56" s="27"/>
      <c r="D56" s="51"/>
      <c r="F56" s="20" t="s">
        <v>82</v>
      </c>
      <c r="G56" s="21">
        <f t="shared" si="8"/>
        <v>10</v>
      </c>
      <c r="I56" s="19"/>
    </row>
    <row r="57">
      <c r="A57" s="24" t="s">
        <v>79</v>
      </c>
      <c r="B57" s="13">
        <v>4.0</v>
      </c>
      <c r="D57" s="16" t="s">
        <v>170</v>
      </c>
      <c r="I57" s="19"/>
    </row>
    <row r="58">
      <c r="A58" s="24" t="s">
        <v>89</v>
      </c>
      <c r="B58" s="13">
        <v>10.0</v>
      </c>
      <c r="D58" s="16" t="s">
        <v>92</v>
      </c>
      <c r="E58" s="25">
        <f>E52/H62</f>
        <v>218181.8182</v>
      </c>
      <c r="I58" s="19"/>
    </row>
    <row r="59">
      <c r="A59" s="12" t="s">
        <v>98</v>
      </c>
      <c r="B59" s="13">
        <v>6.0</v>
      </c>
      <c r="D59" s="16" t="s">
        <v>94</v>
      </c>
      <c r="E59" s="25">
        <f>E52/I52</f>
        <v>166666.6667</v>
      </c>
      <c r="I59" s="19"/>
    </row>
    <row r="60">
      <c r="A60" s="32"/>
      <c r="D60" s="16" t="s">
        <v>96</v>
      </c>
      <c r="E60" s="25">
        <f>E58/I52</f>
        <v>36363.63636</v>
      </c>
      <c r="F60" s="4"/>
      <c r="G60" s="4"/>
      <c r="H60" s="4"/>
      <c r="I60" s="59"/>
    </row>
    <row r="61">
      <c r="A61" s="60"/>
      <c r="D61" s="16" t="s">
        <v>99</v>
      </c>
      <c r="E61" s="25">
        <f>E60/12</f>
        <v>3030.30303</v>
      </c>
      <c r="F61" s="4" t="s">
        <v>171</v>
      </c>
      <c r="I61" s="59"/>
    </row>
    <row r="62">
      <c r="A62" s="61"/>
      <c r="D62" s="16" t="s">
        <v>101</v>
      </c>
      <c r="E62" s="25">
        <f>E61*5</f>
        <v>15151.51515</v>
      </c>
      <c r="F62" s="4" t="s">
        <v>171</v>
      </c>
      <c r="G62" s="35" t="s">
        <v>105</v>
      </c>
      <c r="H62" s="25">
        <f>H52+(25/60)</f>
        <v>4.583333333</v>
      </c>
      <c r="I62" s="19"/>
    </row>
    <row r="63">
      <c r="A63" s="61"/>
      <c r="D63" s="17"/>
      <c r="G63" s="35" t="s">
        <v>108</v>
      </c>
      <c r="H63" s="25">
        <f>I55+(25/60)</f>
        <v>0.4166666667</v>
      </c>
      <c r="I63" s="19"/>
    </row>
    <row r="64">
      <c r="A64" s="61"/>
      <c r="D64" s="16" t="s">
        <v>111</v>
      </c>
      <c r="G64" s="16" t="s">
        <v>112</v>
      </c>
      <c r="I64" s="19"/>
    </row>
    <row r="65">
      <c r="A65" s="61"/>
      <c r="D65" s="16" t="s">
        <v>92</v>
      </c>
      <c r="E65" s="25">
        <f>E53/H55</f>
        <v>0</v>
      </c>
      <c r="G65" s="16" t="s">
        <v>92</v>
      </c>
      <c r="H65" s="25">
        <f>E54/H63</f>
        <v>2400000</v>
      </c>
      <c r="I65" s="19"/>
    </row>
    <row r="66">
      <c r="A66" s="61"/>
      <c r="D66" s="16" t="s">
        <v>94</v>
      </c>
      <c r="E66" s="25">
        <f>E53/I52</f>
        <v>0</v>
      </c>
      <c r="G66" s="16" t="s">
        <v>94</v>
      </c>
      <c r="H66" s="25">
        <f>E54/I52</f>
        <v>166666.6667</v>
      </c>
      <c r="I66" s="19"/>
    </row>
    <row r="67">
      <c r="A67" s="60"/>
      <c r="D67" s="16" t="s">
        <v>96</v>
      </c>
      <c r="E67" s="25">
        <f>E66/H55</f>
        <v>0</v>
      </c>
      <c r="G67" s="16" t="s">
        <v>96</v>
      </c>
      <c r="H67" s="25">
        <f>H66/H63</f>
        <v>400000</v>
      </c>
      <c r="I67" s="19"/>
    </row>
    <row r="68">
      <c r="A68" s="32"/>
      <c r="D68" s="16" t="s">
        <v>99</v>
      </c>
      <c r="E68" s="25">
        <f>E67/12</f>
        <v>0</v>
      </c>
      <c r="G68" s="16" t="s">
        <v>99</v>
      </c>
      <c r="H68" s="25">
        <f>H67/12</f>
        <v>33333.33333</v>
      </c>
      <c r="I68" s="19"/>
    </row>
    <row r="69">
      <c r="A69" s="42"/>
      <c r="D69" s="16" t="s">
        <v>101</v>
      </c>
      <c r="E69" s="25">
        <f>E68*5</f>
        <v>0</v>
      </c>
      <c r="G69" s="16" t="s">
        <v>101</v>
      </c>
      <c r="H69" s="25">
        <f>H68*5</f>
        <v>166666.6667</v>
      </c>
      <c r="I69" s="19"/>
    </row>
    <row r="70">
      <c r="A70" s="42"/>
      <c r="I70" s="19"/>
    </row>
    <row r="71">
      <c r="A71" s="42"/>
      <c r="D71" s="28" t="s">
        <v>124</v>
      </c>
      <c r="E71" s="41"/>
      <c r="F71" s="41"/>
      <c r="I71" s="19"/>
    </row>
    <row r="72">
      <c r="A72" s="42"/>
      <c r="D72" s="4" t="s">
        <v>126</v>
      </c>
      <c r="E72" s="25">
        <f t="shared" ref="E72:E74" si="9">H67-E67</f>
        <v>400000</v>
      </c>
      <c r="I72" s="19"/>
    </row>
    <row r="73">
      <c r="A73" s="42"/>
      <c r="D73" s="4" t="s">
        <v>128</v>
      </c>
      <c r="E73" s="25">
        <f t="shared" si="9"/>
        <v>33333.33333</v>
      </c>
      <c r="I73" s="19"/>
    </row>
    <row r="74">
      <c r="A74" s="32"/>
      <c r="D74" s="4" t="s">
        <v>129</v>
      </c>
      <c r="E74" s="25">
        <f t="shared" si="9"/>
        <v>166666.6667</v>
      </c>
      <c r="G74" s="43"/>
      <c r="I74" s="19"/>
    </row>
    <row r="75">
      <c r="A75" s="32"/>
      <c r="D75" s="28" t="s">
        <v>131</v>
      </c>
      <c r="I75" s="19"/>
    </row>
    <row r="76">
      <c r="A76" s="32"/>
      <c r="D76" s="4" t="s">
        <v>132</v>
      </c>
      <c r="E76" s="25">
        <f t="shared" ref="E76:E78" si="10">H67-E60</f>
        <v>363636.3636</v>
      </c>
      <c r="G76" s="28" t="s">
        <v>134</v>
      </c>
      <c r="I76" s="19"/>
    </row>
    <row r="77">
      <c r="A77" s="32"/>
      <c r="D77" s="4" t="s">
        <v>133</v>
      </c>
      <c r="E77" s="25">
        <f t="shared" si="10"/>
        <v>30303.0303</v>
      </c>
      <c r="G77" s="35" t="s">
        <v>137</v>
      </c>
      <c r="H77" s="25">
        <f>E62/H65</f>
        <v>0.006313131313</v>
      </c>
      <c r="I77" s="19"/>
    </row>
    <row r="78">
      <c r="A78" s="44"/>
      <c r="B78" s="45"/>
      <c r="C78" s="45"/>
      <c r="D78" s="47" t="s">
        <v>136</v>
      </c>
      <c r="E78" s="45">
        <f t="shared" si="10"/>
        <v>151515.1515</v>
      </c>
      <c r="F78" s="45"/>
      <c r="G78" s="48" t="s">
        <v>139</v>
      </c>
      <c r="H78" s="45">
        <f>H52-H77</f>
        <v>4.160353535</v>
      </c>
      <c r="I78" s="50"/>
    </row>
    <row r="80">
      <c r="A80" s="6" t="s">
        <v>70</v>
      </c>
      <c r="B80" s="34" t="s">
        <v>169</v>
      </c>
      <c r="C80" s="10"/>
      <c r="D80" s="9" t="s">
        <v>71</v>
      </c>
      <c r="E80" s="10"/>
      <c r="F80" s="10"/>
      <c r="G80" s="10"/>
      <c r="H80" s="10"/>
      <c r="I80" s="11"/>
    </row>
    <row r="81">
      <c r="A81" s="12" t="s">
        <v>72</v>
      </c>
      <c r="B81" s="13">
        <v>1000000.0</v>
      </c>
      <c r="D81" s="56" t="str">
        <f>B80</f>
        <v>Test Date</v>
      </c>
      <c r="E81" s="16" t="s">
        <v>73</v>
      </c>
      <c r="F81" s="17"/>
      <c r="G81" s="16" t="s">
        <v>74</v>
      </c>
      <c r="H81" s="16" t="s">
        <v>75</v>
      </c>
      <c r="I81" s="57" t="s">
        <v>76</v>
      </c>
    </row>
    <row r="82">
      <c r="A82" s="12" t="s">
        <v>78</v>
      </c>
      <c r="B82" s="13">
        <v>0.0</v>
      </c>
      <c r="D82" s="20" t="s">
        <v>72</v>
      </c>
      <c r="E82" s="21">
        <f t="shared" ref="E82:E83" si="11">B81</f>
        <v>1000000</v>
      </c>
      <c r="F82" s="20" t="s">
        <v>79</v>
      </c>
      <c r="G82" s="21">
        <f t="shared" ref="G82:G83" si="12">B84</f>
        <v>4</v>
      </c>
      <c r="H82" s="4">
        <f>G82+(G83/60)</f>
        <v>4.166666667</v>
      </c>
      <c r="I82" s="58">
        <f>B89</f>
        <v>6</v>
      </c>
    </row>
    <row r="83">
      <c r="A83" s="12" t="s">
        <v>81</v>
      </c>
      <c r="B83" s="14"/>
      <c r="D83" s="20" t="s">
        <v>78</v>
      </c>
      <c r="E83" s="21">
        <f t="shared" si="11"/>
        <v>0</v>
      </c>
      <c r="F83" s="20" t="s">
        <v>82</v>
      </c>
      <c r="G83" s="21">
        <f t="shared" si="12"/>
        <v>10</v>
      </c>
      <c r="I83" s="19"/>
    </row>
    <row r="84">
      <c r="A84" s="24" t="s">
        <v>79</v>
      </c>
      <c r="B84" s="13">
        <v>4.0</v>
      </c>
      <c r="D84" s="20" t="s">
        <v>84</v>
      </c>
      <c r="E84" s="25">
        <f>E82-E83</f>
        <v>1000000</v>
      </c>
      <c r="F84" s="26"/>
      <c r="G84" s="16" t="s">
        <v>85</v>
      </c>
      <c r="H84" s="16" t="s">
        <v>86</v>
      </c>
      <c r="I84" s="57" t="s">
        <v>87</v>
      </c>
    </row>
    <row r="85">
      <c r="A85" s="24" t="s">
        <v>89</v>
      </c>
      <c r="B85" s="13">
        <v>10.0</v>
      </c>
      <c r="D85" s="51"/>
      <c r="F85" s="20" t="s">
        <v>79</v>
      </c>
      <c r="G85" s="21">
        <f t="shared" ref="G85:G86" si="13">B87</f>
        <v>4</v>
      </c>
      <c r="H85" s="25">
        <f>G85+(G86/60)</f>
        <v>4.166666667</v>
      </c>
      <c r="I85" s="19">
        <f>H82-H85</f>
        <v>0</v>
      </c>
    </row>
    <row r="86">
      <c r="A86" s="12" t="s">
        <v>85</v>
      </c>
      <c r="B86" s="27"/>
      <c r="D86" s="51"/>
      <c r="F86" s="20" t="s">
        <v>82</v>
      </c>
      <c r="G86" s="21">
        <f t="shared" si="13"/>
        <v>10</v>
      </c>
      <c r="I86" s="19"/>
    </row>
    <row r="87">
      <c r="A87" s="24" t="s">
        <v>79</v>
      </c>
      <c r="B87" s="13">
        <v>4.0</v>
      </c>
      <c r="D87" s="16" t="s">
        <v>170</v>
      </c>
      <c r="I87" s="19"/>
    </row>
    <row r="88">
      <c r="A88" s="24" t="s">
        <v>89</v>
      </c>
      <c r="B88" s="13">
        <v>10.0</v>
      </c>
      <c r="D88" s="16" t="s">
        <v>92</v>
      </c>
      <c r="E88" s="25">
        <f>E82/H92</f>
        <v>218181.8182</v>
      </c>
      <c r="I88" s="19"/>
    </row>
    <row r="89">
      <c r="A89" s="12" t="s">
        <v>98</v>
      </c>
      <c r="B89" s="13">
        <v>6.0</v>
      </c>
      <c r="D89" s="16" t="s">
        <v>94</v>
      </c>
      <c r="E89" s="25">
        <f>E82/I82</f>
        <v>166666.6667</v>
      </c>
      <c r="I89" s="19"/>
    </row>
    <row r="90">
      <c r="A90" s="32"/>
      <c r="D90" s="16" t="s">
        <v>96</v>
      </c>
      <c r="E90" s="25">
        <f>E88/I82</f>
        <v>36363.63636</v>
      </c>
      <c r="F90" s="4"/>
      <c r="G90" s="4"/>
      <c r="H90" s="4"/>
      <c r="I90" s="59"/>
    </row>
    <row r="91">
      <c r="A91" s="60"/>
      <c r="D91" s="16" t="s">
        <v>99</v>
      </c>
      <c r="E91" s="25">
        <f>E90/12</f>
        <v>3030.30303</v>
      </c>
      <c r="F91" s="4" t="s">
        <v>171</v>
      </c>
      <c r="I91" s="59"/>
    </row>
    <row r="92">
      <c r="A92" s="61"/>
      <c r="D92" s="16" t="s">
        <v>101</v>
      </c>
      <c r="E92" s="25">
        <f>E91*5</f>
        <v>15151.51515</v>
      </c>
      <c r="F92" s="4" t="s">
        <v>171</v>
      </c>
      <c r="G92" s="35" t="s">
        <v>105</v>
      </c>
      <c r="H92" s="25">
        <f>H82+(25/60)</f>
        <v>4.583333333</v>
      </c>
      <c r="I92" s="19"/>
    </row>
    <row r="93">
      <c r="A93" s="61"/>
      <c r="D93" s="17"/>
      <c r="G93" s="35" t="s">
        <v>108</v>
      </c>
      <c r="H93" s="25">
        <f>I85+(25/60)</f>
        <v>0.4166666667</v>
      </c>
      <c r="I93" s="19"/>
    </row>
    <row r="94">
      <c r="A94" s="61"/>
      <c r="D94" s="16" t="s">
        <v>111</v>
      </c>
      <c r="G94" s="16" t="s">
        <v>112</v>
      </c>
      <c r="I94" s="19"/>
    </row>
    <row r="95">
      <c r="A95" s="61"/>
      <c r="D95" s="16" t="s">
        <v>92</v>
      </c>
      <c r="E95" s="25">
        <f>E83/H85</f>
        <v>0</v>
      </c>
      <c r="G95" s="16" t="s">
        <v>92</v>
      </c>
      <c r="H95" s="25">
        <f>E84/H93</f>
        <v>2400000</v>
      </c>
      <c r="I95" s="19"/>
    </row>
    <row r="96">
      <c r="A96" s="61"/>
      <c r="D96" s="16" t="s">
        <v>94</v>
      </c>
      <c r="E96" s="25">
        <f>E83/I82</f>
        <v>0</v>
      </c>
      <c r="G96" s="16" t="s">
        <v>94</v>
      </c>
      <c r="H96" s="25">
        <f>E84/I82</f>
        <v>166666.6667</v>
      </c>
      <c r="I96" s="19"/>
    </row>
    <row r="97">
      <c r="A97" s="60"/>
      <c r="D97" s="16" t="s">
        <v>96</v>
      </c>
      <c r="E97" s="25">
        <f>E96/H85</f>
        <v>0</v>
      </c>
      <c r="G97" s="16" t="s">
        <v>96</v>
      </c>
      <c r="H97" s="25">
        <f>H96/H93</f>
        <v>400000</v>
      </c>
      <c r="I97" s="19"/>
    </row>
    <row r="98">
      <c r="A98" s="32"/>
      <c r="D98" s="16" t="s">
        <v>99</v>
      </c>
      <c r="E98" s="25">
        <f>E97/12</f>
        <v>0</v>
      </c>
      <c r="G98" s="16" t="s">
        <v>99</v>
      </c>
      <c r="H98" s="25">
        <f>H97/12</f>
        <v>33333.33333</v>
      </c>
      <c r="I98" s="19"/>
    </row>
    <row r="99">
      <c r="A99" s="42"/>
      <c r="D99" s="16" t="s">
        <v>101</v>
      </c>
      <c r="E99" s="25">
        <f>E98*5</f>
        <v>0</v>
      </c>
      <c r="G99" s="16" t="s">
        <v>101</v>
      </c>
      <c r="H99" s="25">
        <f>H98*5</f>
        <v>166666.6667</v>
      </c>
      <c r="I99" s="19"/>
    </row>
    <row r="100">
      <c r="A100" s="42"/>
      <c r="I100" s="19"/>
    </row>
    <row r="101">
      <c r="A101" s="42"/>
      <c r="D101" s="28" t="s">
        <v>124</v>
      </c>
      <c r="E101" s="41"/>
      <c r="F101" s="41"/>
      <c r="I101" s="19"/>
    </row>
    <row r="102">
      <c r="A102" s="42"/>
      <c r="D102" s="4" t="s">
        <v>126</v>
      </c>
      <c r="E102" s="25">
        <f t="shared" ref="E102:E104" si="14">H97-E97</f>
        <v>400000</v>
      </c>
      <c r="I102" s="19"/>
    </row>
    <row r="103">
      <c r="A103" s="42"/>
      <c r="D103" s="4" t="s">
        <v>128</v>
      </c>
      <c r="E103" s="25">
        <f t="shared" si="14"/>
        <v>33333.33333</v>
      </c>
      <c r="I103" s="19"/>
    </row>
    <row r="104">
      <c r="A104" s="32"/>
      <c r="D104" s="4" t="s">
        <v>129</v>
      </c>
      <c r="E104" s="25">
        <f t="shared" si="14"/>
        <v>166666.6667</v>
      </c>
      <c r="G104" s="43"/>
      <c r="I104" s="19"/>
    </row>
    <row r="105">
      <c r="A105" s="32"/>
      <c r="D105" s="28" t="s">
        <v>131</v>
      </c>
      <c r="I105" s="19"/>
    </row>
    <row r="106">
      <c r="A106" s="32"/>
      <c r="D106" s="4" t="s">
        <v>132</v>
      </c>
      <c r="E106" s="25">
        <f t="shared" ref="E106:E108" si="15">H97-E90</f>
        <v>363636.3636</v>
      </c>
      <c r="G106" s="28" t="s">
        <v>134</v>
      </c>
      <c r="I106" s="19"/>
    </row>
    <row r="107">
      <c r="A107" s="32"/>
      <c r="D107" s="4" t="s">
        <v>133</v>
      </c>
      <c r="E107" s="25">
        <f t="shared" si="15"/>
        <v>30303.0303</v>
      </c>
      <c r="G107" s="35" t="s">
        <v>137</v>
      </c>
      <c r="H107" s="25">
        <f>E92/H95</f>
        <v>0.006313131313</v>
      </c>
      <c r="I107" s="19"/>
    </row>
    <row r="108">
      <c r="A108" s="44"/>
      <c r="B108" s="45"/>
      <c r="C108" s="45"/>
      <c r="D108" s="47" t="s">
        <v>136</v>
      </c>
      <c r="E108" s="45">
        <f t="shared" si="15"/>
        <v>151515.1515</v>
      </c>
      <c r="F108" s="45"/>
      <c r="G108" s="48" t="s">
        <v>139</v>
      </c>
      <c r="H108" s="45">
        <f>H82-H107</f>
        <v>4.160353535</v>
      </c>
      <c r="I108" s="50"/>
    </row>
    <row r="110">
      <c r="A110" s="6" t="s">
        <v>70</v>
      </c>
      <c r="B110" s="34" t="s">
        <v>169</v>
      </c>
      <c r="C110" s="10"/>
      <c r="D110" s="9" t="s">
        <v>71</v>
      </c>
      <c r="E110" s="10"/>
      <c r="F110" s="10"/>
      <c r="G110" s="10"/>
      <c r="H110" s="10"/>
      <c r="I110" s="11"/>
    </row>
    <row r="111">
      <c r="A111" s="12" t="s">
        <v>72</v>
      </c>
      <c r="B111" s="13">
        <v>1000000.0</v>
      </c>
      <c r="D111" s="56" t="str">
        <f>B110</f>
        <v>Test Date</v>
      </c>
      <c r="E111" s="16" t="s">
        <v>73</v>
      </c>
      <c r="F111" s="17"/>
      <c r="G111" s="16" t="s">
        <v>74</v>
      </c>
      <c r="H111" s="16" t="s">
        <v>75</v>
      </c>
      <c r="I111" s="57" t="s">
        <v>76</v>
      </c>
    </row>
    <row r="112">
      <c r="A112" s="12" t="s">
        <v>78</v>
      </c>
      <c r="B112" s="13">
        <v>0.0</v>
      </c>
      <c r="D112" s="20" t="s">
        <v>72</v>
      </c>
      <c r="E112" s="21">
        <f t="shared" ref="E112:E113" si="16">B111</f>
        <v>1000000</v>
      </c>
      <c r="F112" s="20" t="s">
        <v>79</v>
      </c>
      <c r="G112" s="21">
        <f t="shared" ref="G112:G113" si="17">B114</f>
        <v>4</v>
      </c>
      <c r="H112" s="4">
        <f>G112+(G113/60)</f>
        <v>4.166666667</v>
      </c>
      <c r="I112" s="58">
        <f>B119</f>
        <v>6</v>
      </c>
    </row>
    <row r="113">
      <c r="A113" s="12" t="s">
        <v>81</v>
      </c>
      <c r="B113" s="14"/>
      <c r="D113" s="20" t="s">
        <v>78</v>
      </c>
      <c r="E113" s="21">
        <f t="shared" si="16"/>
        <v>0</v>
      </c>
      <c r="F113" s="20" t="s">
        <v>82</v>
      </c>
      <c r="G113" s="21">
        <f t="shared" si="17"/>
        <v>10</v>
      </c>
      <c r="I113" s="19"/>
    </row>
    <row r="114">
      <c r="A114" s="24" t="s">
        <v>79</v>
      </c>
      <c r="B114" s="13">
        <v>4.0</v>
      </c>
      <c r="D114" s="20" t="s">
        <v>84</v>
      </c>
      <c r="E114" s="25">
        <f>E112-E113</f>
        <v>1000000</v>
      </c>
      <c r="F114" s="26"/>
      <c r="G114" s="16" t="s">
        <v>85</v>
      </c>
      <c r="H114" s="16" t="s">
        <v>86</v>
      </c>
      <c r="I114" s="57" t="s">
        <v>87</v>
      </c>
    </row>
    <row r="115">
      <c r="A115" s="24" t="s">
        <v>89</v>
      </c>
      <c r="B115" s="13">
        <v>10.0</v>
      </c>
      <c r="D115" s="51"/>
      <c r="F115" s="20" t="s">
        <v>79</v>
      </c>
      <c r="G115" s="21">
        <f t="shared" ref="G115:G116" si="18">B117</f>
        <v>4</v>
      </c>
      <c r="H115" s="25">
        <f>G115+(G116/60)</f>
        <v>4.166666667</v>
      </c>
      <c r="I115" s="19">
        <f>H112-H115</f>
        <v>0</v>
      </c>
    </row>
    <row r="116">
      <c r="A116" s="12" t="s">
        <v>85</v>
      </c>
      <c r="B116" s="27"/>
      <c r="D116" s="51"/>
      <c r="F116" s="20" t="s">
        <v>82</v>
      </c>
      <c r="G116" s="21">
        <f t="shared" si="18"/>
        <v>10</v>
      </c>
      <c r="I116" s="19"/>
    </row>
    <row r="117">
      <c r="A117" s="24" t="s">
        <v>79</v>
      </c>
      <c r="B117" s="13">
        <v>4.0</v>
      </c>
      <c r="D117" s="16" t="s">
        <v>170</v>
      </c>
      <c r="I117" s="19"/>
    </row>
    <row r="118">
      <c r="A118" s="24" t="s">
        <v>89</v>
      </c>
      <c r="B118" s="13">
        <v>10.0</v>
      </c>
      <c r="D118" s="16" t="s">
        <v>92</v>
      </c>
      <c r="E118" s="25">
        <f>E112/H122</f>
        <v>218181.8182</v>
      </c>
      <c r="I118" s="19"/>
    </row>
    <row r="119">
      <c r="A119" s="12" t="s">
        <v>98</v>
      </c>
      <c r="B119" s="13">
        <v>6.0</v>
      </c>
      <c r="D119" s="16" t="s">
        <v>94</v>
      </c>
      <c r="E119" s="25">
        <f>E112/I112</f>
        <v>166666.6667</v>
      </c>
      <c r="I119" s="19"/>
    </row>
    <row r="120">
      <c r="A120" s="32"/>
      <c r="D120" s="16" t="s">
        <v>96</v>
      </c>
      <c r="E120" s="25">
        <f>E118/I112</f>
        <v>36363.63636</v>
      </c>
      <c r="F120" s="4"/>
      <c r="G120" s="4"/>
      <c r="H120" s="4"/>
      <c r="I120" s="59"/>
    </row>
    <row r="121">
      <c r="A121" s="60"/>
      <c r="D121" s="16" t="s">
        <v>99</v>
      </c>
      <c r="E121" s="25">
        <f>E120/12</f>
        <v>3030.30303</v>
      </c>
      <c r="F121" s="4" t="s">
        <v>171</v>
      </c>
      <c r="I121" s="59"/>
    </row>
    <row r="122">
      <c r="A122" s="61"/>
      <c r="D122" s="16" t="s">
        <v>101</v>
      </c>
      <c r="E122" s="25">
        <f>E121*5</f>
        <v>15151.51515</v>
      </c>
      <c r="F122" s="4" t="s">
        <v>171</v>
      </c>
      <c r="G122" s="35" t="s">
        <v>105</v>
      </c>
      <c r="H122" s="25">
        <f>H112+(25/60)</f>
        <v>4.583333333</v>
      </c>
      <c r="I122" s="19"/>
    </row>
    <row r="123">
      <c r="A123" s="61"/>
      <c r="D123" s="17"/>
      <c r="G123" s="35" t="s">
        <v>108</v>
      </c>
      <c r="H123" s="25">
        <f>I115+(25/60)</f>
        <v>0.4166666667</v>
      </c>
      <c r="I123" s="19"/>
    </row>
    <row r="124">
      <c r="A124" s="61"/>
      <c r="D124" s="16" t="s">
        <v>111</v>
      </c>
      <c r="G124" s="16" t="s">
        <v>112</v>
      </c>
      <c r="I124" s="19"/>
    </row>
    <row r="125">
      <c r="A125" s="61"/>
      <c r="D125" s="16" t="s">
        <v>92</v>
      </c>
      <c r="E125" s="25">
        <f>E113/H115</f>
        <v>0</v>
      </c>
      <c r="G125" s="16" t="s">
        <v>92</v>
      </c>
      <c r="H125" s="25">
        <f>E114/H123</f>
        <v>2400000</v>
      </c>
      <c r="I125" s="19"/>
    </row>
    <row r="126">
      <c r="A126" s="61"/>
      <c r="D126" s="16" t="s">
        <v>94</v>
      </c>
      <c r="E126" s="25">
        <f>E113/I112</f>
        <v>0</v>
      </c>
      <c r="G126" s="16" t="s">
        <v>94</v>
      </c>
      <c r="H126" s="25">
        <f>E114/I112</f>
        <v>166666.6667</v>
      </c>
      <c r="I126" s="19"/>
    </row>
    <row r="127">
      <c r="A127" s="60"/>
      <c r="D127" s="16" t="s">
        <v>96</v>
      </c>
      <c r="E127" s="25">
        <f>E126/H115</f>
        <v>0</v>
      </c>
      <c r="G127" s="16" t="s">
        <v>96</v>
      </c>
      <c r="H127" s="25">
        <f>H126/H123</f>
        <v>400000</v>
      </c>
      <c r="I127" s="19"/>
    </row>
    <row r="128">
      <c r="A128" s="32"/>
      <c r="D128" s="16" t="s">
        <v>99</v>
      </c>
      <c r="E128" s="25">
        <f>E127/12</f>
        <v>0</v>
      </c>
      <c r="G128" s="16" t="s">
        <v>99</v>
      </c>
      <c r="H128" s="25">
        <f>H127/12</f>
        <v>33333.33333</v>
      </c>
      <c r="I128" s="19"/>
    </row>
    <row r="129">
      <c r="A129" s="42"/>
      <c r="D129" s="16" t="s">
        <v>101</v>
      </c>
      <c r="E129" s="25">
        <f>E128*5</f>
        <v>0</v>
      </c>
      <c r="G129" s="16" t="s">
        <v>101</v>
      </c>
      <c r="H129" s="25">
        <f>H128*5</f>
        <v>166666.6667</v>
      </c>
      <c r="I129" s="19"/>
    </row>
    <row r="130">
      <c r="A130" s="42"/>
      <c r="I130" s="19"/>
    </row>
    <row r="131">
      <c r="A131" s="42"/>
      <c r="D131" s="28" t="s">
        <v>124</v>
      </c>
      <c r="E131" s="41"/>
      <c r="F131" s="41"/>
      <c r="I131" s="19"/>
    </row>
    <row r="132">
      <c r="A132" s="42"/>
      <c r="D132" s="4" t="s">
        <v>126</v>
      </c>
      <c r="E132" s="25">
        <f t="shared" ref="E132:E134" si="19">H127-E127</f>
        <v>400000</v>
      </c>
      <c r="I132" s="19"/>
    </row>
    <row r="133">
      <c r="A133" s="42"/>
      <c r="D133" s="4" t="s">
        <v>128</v>
      </c>
      <c r="E133" s="25">
        <f t="shared" si="19"/>
        <v>33333.33333</v>
      </c>
      <c r="I133" s="19"/>
    </row>
    <row r="134">
      <c r="A134" s="32"/>
      <c r="D134" s="4" t="s">
        <v>129</v>
      </c>
      <c r="E134" s="25">
        <f t="shared" si="19"/>
        <v>166666.6667</v>
      </c>
      <c r="G134" s="43"/>
      <c r="I134" s="19"/>
    </row>
    <row r="135">
      <c r="A135" s="32"/>
      <c r="D135" s="28" t="s">
        <v>131</v>
      </c>
      <c r="I135" s="19"/>
    </row>
    <row r="136">
      <c r="A136" s="32"/>
      <c r="D136" s="4" t="s">
        <v>132</v>
      </c>
      <c r="E136" s="25">
        <f t="shared" ref="E136:E138" si="20">H127-E120</f>
        <v>363636.3636</v>
      </c>
      <c r="G136" s="28" t="s">
        <v>134</v>
      </c>
      <c r="I136" s="19"/>
    </row>
    <row r="137">
      <c r="A137" s="32"/>
      <c r="D137" s="4" t="s">
        <v>133</v>
      </c>
      <c r="E137" s="25">
        <f t="shared" si="20"/>
        <v>30303.0303</v>
      </c>
      <c r="G137" s="35" t="s">
        <v>137</v>
      </c>
      <c r="H137" s="25">
        <f>E122/H125</f>
        <v>0.006313131313</v>
      </c>
      <c r="I137" s="19"/>
    </row>
    <row r="138">
      <c r="A138" s="44"/>
      <c r="B138" s="45"/>
      <c r="C138" s="45"/>
      <c r="D138" s="47" t="s">
        <v>136</v>
      </c>
      <c r="E138" s="45">
        <f t="shared" si="20"/>
        <v>151515.1515</v>
      </c>
      <c r="F138" s="45"/>
      <c r="G138" s="48" t="s">
        <v>139</v>
      </c>
      <c r="H138" s="45">
        <f>H112-H137</f>
        <v>4.160353535</v>
      </c>
      <c r="I138" s="50"/>
    </row>
    <row r="140">
      <c r="A140" s="6" t="s">
        <v>70</v>
      </c>
      <c r="B140" s="34" t="s">
        <v>169</v>
      </c>
      <c r="C140" s="10"/>
      <c r="D140" s="9" t="s">
        <v>71</v>
      </c>
      <c r="E140" s="10"/>
      <c r="F140" s="10"/>
      <c r="G140" s="10"/>
      <c r="H140" s="10"/>
      <c r="I140" s="11"/>
    </row>
    <row r="141">
      <c r="A141" s="12" t="s">
        <v>72</v>
      </c>
      <c r="B141" s="13">
        <v>1000000.0</v>
      </c>
      <c r="D141" s="56" t="str">
        <f>B140</f>
        <v>Test Date</v>
      </c>
      <c r="E141" s="16" t="s">
        <v>73</v>
      </c>
      <c r="F141" s="17"/>
      <c r="G141" s="16" t="s">
        <v>74</v>
      </c>
      <c r="H141" s="16" t="s">
        <v>75</v>
      </c>
      <c r="I141" s="57" t="s">
        <v>76</v>
      </c>
    </row>
    <row r="142">
      <c r="A142" s="12" t="s">
        <v>78</v>
      </c>
      <c r="B142" s="13">
        <v>0.0</v>
      </c>
      <c r="D142" s="20" t="s">
        <v>72</v>
      </c>
      <c r="E142" s="21">
        <f t="shared" ref="E142:E143" si="21">B141</f>
        <v>1000000</v>
      </c>
      <c r="F142" s="20" t="s">
        <v>79</v>
      </c>
      <c r="G142" s="21">
        <f t="shared" ref="G142:G143" si="22">B144</f>
        <v>4</v>
      </c>
      <c r="H142" s="4">
        <f>G142+(G143/60)</f>
        <v>4.166666667</v>
      </c>
      <c r="I142" s="58">
        <f>B149</f>
        <v>6</v>
      </c>
    </row>
    <row r="143">
      <c r="A143" s="12" t="s">
        <v>81</v>
      </c>
      <c r="B143" s="14"/>
      <c r="D143" s="20" t="s">
        <v>78</v>
      </c>
      <c r="E143" s="21">
        <f t="shared" si="21"/>
        <v>0</v>
      </c>
      <c r="F143" s="20" t="s">
        <v>82</v>
      </c>
      <c r="G143" s="21">
        <f t="shared" si="22"/>
        <v>10</v>
      </c>
      <c r="I143" s="19"/>
    </row>
    <row r="144">
      <c r="A144" s="24" t="s">
        <v>79</v>
      </c>
      <c r="B144" s="13">
        <v>4.0</v>
      </c>
      <c r="D144" s="20" t="s">
        <v>84</v>
      </c>
      <c r="E144" s="25">
        <f>E142-E143</f>
        <v>1000000</v>
      </c>
      <c r="F144" s="26"/>
      <c r="G144" s="16" t="s">
        <v>85</v>
      </c>
      <c r="H144" s="16" t="s">
        <v>86</v>
      </c>
      <c r="I144" s="57" t="s">
        <v>87</v>
      </c>
    </row>
    <row r="145">
      <c r="A145" s="24" t="s">
        <v>89</v>
      </c>
      <c r="B145" s="13">
        <v>10.0</v>
      </c>
      <c r="D145" s="51"/>
      <c r="F145" s="20" t="s">
        <v>79</v>
      </c>
      <c r="G145" s="21">
        <f t="shared" ref="G145:G146" si="23">B147</f>
        <v>4</v>
      </c>
      <c r="H145" s="25">
        <f>G145+(G146/60)</f>
        <v>4.166666667</v>
      </c>
      <c r="I145" s="19">
        <f>H142-H145</f>
        <v>0</v>
      </c>
    </row>
    <row r="146">
      <c r="A146" s="12" t="s">
        <v>85</v>
      </c>
      <c r="B146" s="27"/>
      <c r="D146" s="51"/>
      <c r="F146" s="20" t="s">
        <v>82</v>
      </c>
      <c r="G146" s="21">
        <f t="shared" si="23"/>
        <v>10</v>
      </c>
      <c r="I146" s="19"/>
    </row>
    <row r="147">
      <c r="A147" s="24" t="s">
        <v>79</v>
      </c>
      <c r="B147" s="13">
        <v>4.0</v>
      </c>
      <c r="D147" s="16" t="s">
        <v>170</v>
      </c>
      <c r="I147" s="19"/>
    </row>
    <row r="148">
      <c r="A148" s="24" t="s">
        <v>89</v>
      </c>
      <c r="B148" s="13">
        <v>10.0</v>
      </c>
      <c r="D148" s="16" t="s">
        <v>92</v>
      </c>
      <c r="E148" s="25">
        <f>E142/H152</f>
        <v>218181.8182</v>
      </c>
      <c r="I148" s="19"/>
    </row>
    <row r="149">
      <c r="A149" s="12" t="s">
        <v>98</v>
      </c>
      <c r="B149" s="13">
        <v>6.0</v>
      </c>
      <c r="D149" s="16" t="s">
        <v>94</v>
      </c>
      <c r="E149" s="25">
        <f>E142/I142</f>
        <v>166666.6667</v>
      </c>
      <c r="I149" s="19"/>
    </row>
    <row r="150">
      <c r="A150" s="32"/>
      <c r="D150" s="16" t="s">
        <v>96</v>
      </c>
      <c r="E150" s="25">
        <f>E148/I142</f>
        <v>36363.63636</v>
      </c>
      <c r="F150" s="4"/>
      <c r="G150" s="4"/>
      <c r="H150" s="4"/>
      <c r="I150" s="59"/>
    </row>
    <row r="151">
      <c r="A151" s="60"/>
      <c r="D151" s="16" t="s">
        <v>99</v>
      </c>
      <c r="E151" s="25">
        <f>E150/12</f>
        <v>3030.30303</v>
      </c>
      <c r="F151" s="4" t="s">
        <v>171</v>
      </c>
      <c r="I151" s="59"/>
    </row>
    <row r="152">
      <c r="A152" s="61"/>
      <c r="D152" s="16" t="s">
        <v>101</v>
      </c>
      <c r="E152" s="25">
        <f>E151*5</f>
        <v>15151.51515</v>
      </c>
      <c r="F152" s="4" t="s">
        <v>171</v>
      </c>
      <c r="G152" s="35" t="s">
        <v>105</v>
      </c>
      <c r="H152" s="25">
        <f>H142+(25/60)</f>
        <v>4.583333333</v>
      </c>
      <c r="I152" s="19"/>
    </row>
    <row r="153">
      <c r="A153" s="61"/>
      <c r="D153" s="17"/>
      <c r="G153" s="35" t="s">
        <v>108</v>
      </c>
      <c r="H153" s="25">
        <f>I145+(25/60)</f>
        <v>0.4166666667</v>
      </c>
      <c r="I153" s="19"/>
    </row>
    <row r="154">
      <c r="A154" s="61"/>
      <c r="D154" s="16" t="s">
        <v>111</v>
      </c>
      <c r="G154" s="16" t="s">
        <v>112</v>
      </c>
      <c r="I154" s="19"/>
    </row>
    <row r="155">
      <c r="A155" s="61"/>
      <c r="D155" s="16" t="s">
        <v>92</v>
      </c>
      <c r="E155" s="25">
        <f>E143/H145</f>
        <v>0</v>
      </c>
      <c r="G155" s="16" t="s">
        <v>92</v>
      </c>
      <c r="H155" s="25">
        <f>E144/H153</f>
        <v>2400000</v>
      </c>
      <c r="I155" s="19"/>
    </row>
    <row r="156">
      <c r="A156" s="61"/>
      <c r="D156" s="16" t="s">
        <v>94</v>
      </c>
      <c r="E156" s="25">
        <f>E143/I142</f>
        <v>0</v>
      </c>
      <c r="G156" s="16" t="s">
        <v>94</v>
      </c>
      <c r="H156" s="25">
        <f>E144/I142</f>
        <v>166666.6667</v>
      </c>
      <c r="I156" s="19"/>
    </row>
    <row r="157">
      <c r="A157" s="60"/>
      <c r="D157" s="16" t="s">
        <v>96</v>
      </c>
      <c r="E157" s="25">
        <f>E156/H145</f>
        <v>0</v>
      </c>
      <c r="G157" s="16" t="s">
        <v>96</v>
      </c>
      <c r="H157" s="25">
        <f>H156/H153</f>
        <v>400000</v>
      </c>
      <c r="I157" s="19"/>
    </row>
    <row r="158">
      <c r="A158" s="32"/>
      <c r="D158" s="16" t="s">
        <v>99</v>
      </c>
      <c r="E158" s="25">
        <f>E157/12</f>
        <v>0</v>
      </c>
      <c r="G158" s="16" t="s">
        <v>99</v>
      </c>
      <c r="H158" s="25">
        <f>H157/12</f>
        <v>33333.33333</v>
      </c>
      <c r="I158" s="19"/>
    </row>
    <row r="159">
      <c r="A159" s="42"/>
      <c r="D159" s="16" t="s">
        <v>101</v>
      </c>
      <c r="E159" s="25">
        <f>E158*5</f>
        <v>0</v>
      </c>
      <c r="G159" s="16" t="s">
        <v>101</v>
      </c>
      <c r="H159" s="25">
        <f>H158*5</f>
        <v>166666.6667</v>
      </c>
      <c r="I159" s="19"/>
    </row>
    <row r="160">
      <c r="A160" s="42"/>
      <c r="I160" s="19"/>
    </row>
    <row r="161">
      <c r="A161" s="42"/>
      <c r="D161" s="28" t="s">
        <v>124</v>
      </c>
      <c r="E161" s="41"/>
      <c r="F161" s="41"/>
      <c r="I161" s="19"/>
    </row>
    <row r="162">
      <c r="A162" s="42"/>
      <c r="D162" s="4" t="s">
        <v>126</v>
      </c>
      <c r="E162" s="25">
        <f t="shared" ref="E162:E164" si="24">H157-E157</f>
        <v>400000</v>
      </c>
      <c r="I162" s="19"/>
    </row>
    <row r="163">
      <c r="A163" s="42"/>
      <c r="D163" s="4" t="s">
        <v>128</v>
      </c>
      <c r="E163" s="25">
        <f t="shared" si="24"/>
        <v>33333.33333</v>
      </c>
      <c r="I163" s="19"/>
    </row>
    <row r="164">
      <c r="A164" s="32"/>
      <c r="D164" s="4" t="s">
        <v>129</v>
      </c>
      <c r="E164" s="25">
        <f t="shared" si="24"/>
        <v>166666.6667</v>
      </c>
      <c r="G164" s="43"/>
      <c r="I164" s="19"/>
    </row>
    <row r="165">
      <c r="A165" s="32"/>
      <c r="D165" s="28" t="s">
        <v>131</v>
      </c>
      <c r="I165" s="19"/>
    </row>
    <row r="166">
      <c r="A166" s="32"/>
      <c r="D166" s="4" t="s">
        <v>132</v>
      </c>
      <c r="E166" s="25">
        <f t="shared" ref="E166:E168" si="25">H157-E150</f>
        <v>363636.3636</v>
      </c>
      <c r="G166" s="28" t="s">
        <v>134</v>
      </c>
      <c r="I166" s="19"/>
    </row>
    <row r="167">
      <c r="A167" s="32"/>
      <c r="D167" s="4" t="s">
        <v>133</v>
      </c>
      <c r="E167" s="25">
        <f t="shared" si="25"/>
        <v>30303.0303</v>
      </c>
      <c r="G167" s="35" t="s">
        <v>137</v>
      </c>
      <c r="H167" s="25">
        <f>E152/H155</f>
        <v>0.006313131313</v>
      </c>
      <c r="I167" s="19"/>
    </row>
    <row r="168">
      <c r="A168" s="44"/>
      <c r="B168" s="45"/>
      <c r="C168" s="45"/>
      <c r="D168" s="47" t="s">
        <v>136</v>
      </c>
      <c r="E168" s="45">
        <f t="shared" si="25"/>
        <v>151515.1515</v>
      </c>
      <c r="F168" s="45"/>
      <c r="G168" s="48" t="s">
        <v>139</v>
      </c>
      <c r="H168" s="45">
        <f>H142-H167</f>
        <v>4.160353535</v>
      </c>
      <c r="I168" s="50"/>
    </row>
    <row r="170">
      <c r="A170" s="6" t="s">
        <v>70</v>
      </c>
      <c r="B170" s="34" t="s">
        <v>169</v>
      </c>
      <c r="C170" s="10"/>
      <c r="D170" s="9" t="s">
        <v>71</v>
      </c>
      <c r="E170" s="10"/>
      <c r="F170" s="10"/>
      <c r="G170" s="10"/>
      <c r="H170" s="10"/>
      <c r="I170" s="11"/>
    </row>
    <row r="171">
      <c r="A171" s="12" t="s">
        <v>72</v>
      </c>
      <c r="B171" s="13">
        <v>1000000.0</v>
      </c>
      <c r="D171" s="56" t="str">
        <f>B170</f>
        <v>Test Date</v>
      </c>
      <c r="E171" s="16" t="s">
        <v>73</v>
      </c>
      <c r="F171" s="17"/>
      <c r="G171" s="16" t="s">
        <v>74</v>
      </c>
      <c r="H171" s="16" t="s">
        <v>75</v>
      </c>
      <c r="I171" s="57" t="s">
        <v>76</v>
      </c>
    </row>
    <row r="172">
      <c r="A172" s="12" t="s">
        <v>78</v>
      </c>
      <c r="B172" s="13">
        <v>0.0</v>
      </c>
      <c r="D172" s="20" t="s">
        <v>72</v>
      </c>
      <c r="E172" s="21">
        <f t="shared" ref="E172:E173" si="26">B171</f>
        <v>1000000</v>
      </c>
      <c r="F172" s="20" t="s">
        <v>79</v>
      </c>
      <c r="G172" s="21">
        <f t="shared" ref="G172:G173" si="27">B174</f>
        <v>4</v>
      </c>
      <c r="H172" s="4">
        <f>G172+(G173/60)</f>
        <v>4.166666667</v>
      </c>
      <c r="I172" s="58">
        <f>B179</f>
        <v>6</v>
      </c>
    </row>
    <row r="173">
      <c r="A173" s="12" t="s">
        <v>81</v>
      </c>
      <c r="B173" s="14"/>
      <c r="D173" s="20" t="s">
        <v>78</v>
      </c>
      <c r="E173" s="21">
        <f t="shared" si="26"/>
        <v>0</v>
      </c>
      <c r="F173" s="20" t="s">
        <v>82</v>
      </c>
      <c r="G173" s="21">
        <f t="shared" si="27"/>
        <v>10</v>
      </c>
      <c r="I173" s="19"/>
    </row>
    <row r="174">
      <c r="A174" s="24" t="s">
        <v>79</v>
      </c>
      <c r="B174" s="13">
        <v>4.0</v>
      </c>
      <c r="D174" s="20" t="s">
        <v>84</v>
      </c>
      <c r="E174" s="25">
        <f>E172-E173</f>
        <v>1000000</v>
      </c>
      <c r="F174" s="26"/>
      <c r="G174" s="16" t="s">
        <v>85</v>
      </c>
      <c r="H174" s="16" t="s">
        <v>86</v>
      </c>
      <c r="I174" s="57" t="s">
        <v>87</v>
      </c>
    </row>
    <row r="175">
      <c r="A175" s="24" t="s">
        <v>89</v>
      </c>
      <c r="B175" s="13">
        <v>10.0</v>
      </c>
      <c r="D175" s="51"/>
      <c r="F175" s="20" t="s">
        <v>79</v>
      </c>
      <c r="G175" s="21">
        <f t="shared" ref="G175:G176" si="28">B177</f>
        <v>4</v>
      </c>
      <c r="H175" s="25">
        <f>G175+(G176/60)</f>
        <v>4.166666667</v>
      </c>
      <c r="I175" s="19">
        <f>H172-H175</f>
        <v>0</v>
      </c>
    </row>
    <row r="176">
      <c r="A176" s="12" t="s">
        <v>85</v>
      </c>
      <c r="B176" s="27"/>
      <c r="D176" s="51"/>
      <c r="F176" s="20" t="s">
        <v>82</v>
      </c>
      <c r="G176" s="21">
        <f t="shared" si="28"/>
        <v>10</v>
      </c>
      <c r="I176" s="19"/>
    </row>
    <row r="177">
      <c r="A177" s="24" t="s">
        <v>79</v>
      </c>
      <c r="B177" s="13">
        <v>4.0</v>
      </c>
      <c r="D177" s="16" t="s">
        <v>170</v>
      </c>
      <c r="I177" s="19"/>
    </row>
    <row r="178">
      <c r="A178" s="24" t="s">
        <v>89</v>
      </c>
      <c r="B178" s="13">
        <v>10.0</v>
      </c>
      <c r="D178" s="16" t="s">
        <v>92</v>
      </c>
      <c r="E178" s="25">
        <f>E172/H182</f>
        <v>218181.8182</v>
      </c>
      <c r="I178" s="19"/>
    </row>
    <row r="179">
      <c r="A179" s="12" t="s">
        <v>98</v>
      </c>
      <c r="B179" s="13">
        <v>6.0</v>
      </c>
      <c r="D179" s="16" t="s">
        <v>94</v>
      </c>
      <c r="E179" s="25">
        <f>E172/I172</f>
        <v>166666.6667</v>
      </c>
      <c r="I179" s="19"/>
    </row>
    <row r="180">
      <c r="A180" s="32"/>
      <c r="D180" s="16" t="s">
        <v>96</v>
      </c>
      <c r="E180" s="25">
        <f>E178/I172</f>
        <v>36363.63636</v>
      </c>
      <c r="F180" s="4"/>
      <c r="G180" s="4"/>
      <c r="H180" s="4"/>
      <c r="I180" s="59"/>
    </row>
    <row r="181">
      <c r="A181" s="60"/>
      <c r="D181" s="16" t="s">
        <v>99</v>
      </c>
      <c r="E181" s="25">
        <f>E180/12</f>
        <v>3030.30303</v>
      </c>
      <c r="F181" s="4" t="s">
        <v>171</v>
      </c>
      <c r="I181" s="59"/>
    </row>
    <row r="182">
      <c r="A182" s="61"/>
      <c r="D182" s="16" t="s">
        <v>101</v>
      </c>
      <c r="E182" s="25">
        <f>E181*5</f>
        <v>15151.51515</v>
      </c>
      <c r="F182" s="4" t="s">
        <v>171</v>
      </c>
      <c r="G182" s="35" t="s">
        <v>105</v>
      </c>
      <c r="H182" s="25">
        <f>H172+(25/60)</f>
        <v>4.583333333</v>
      </c>
      <c r="I182" s="19"/>
    </row>
    <row r="183">
      <c r="A183" s="61"/>
      <c r="D183" s="17"/>
      <c r="G183" s="35" t="s">
        <v>108</v>
      </c>
      <c r="H183" s="25">
        <f>I175+(25/60)</f>
        <v>0.4166666667</v>
      </c>
      <c r="I183" s="19"/>
    </row>
    <row r="184">
      <c r="A184" s="61"/>
      <c r="D184" s="16" t="s">
        <v>111</v>
      </c>
      <c r="G184" s="16" t="s">
        <v>112</v>
      </c>
      <c r="I184" s="19"/>
    </row>
    <row r="185">
      <c r="A185" s="61"/>
      <c r="D185" s="16" t="s">
        <v>92</v>
      </c>
      <c r="E185" s="25">
        <f>E173/H175</f>
        <v>0</v>
      </c>
      <c r="G185" s="16" t="s">
        <v>92</v>
      </c>
      <c r="H185" s="25">
        <f>E174/H183</f>
        <v>2400000</v>
      </c>
      <c r="I185" s="19"/>
    </row>
    <row r="186">
      <c r="A186" s="61"/>
      <c r="D186" s="16" t="s">
        <v>94</v>
      </c>
      <c r="E186" s="25">
        <f>E173/I172</f>
        <v>0</v>
      </c>
      <c r="G186" s="16" t="s">
        <v>94</v>
      </c>
      <c r="H186" s="25">
        <f>E174/I172</f>
        <v>166666.6667</v>
      </c>
      <c r="I186" s="19"/>
    </row>
    <row r="187">
      <c r="A187" s="60"/>
      <c r="D187" s="16" t="s">
        <v>96</v>
      </c>
      <c r="E187" s="25">
        <f>E186/H175</f>
        <v>0</v>
      </c>
      <c r="G187" s="16" t="s">
        <v>96</v>
      </c>
      <c r="H187" s="25">
        <f>H186/H183</f>
        <v>400000</v>
      </c>
      <c r="I187" s="19"/>
    </row>
    <row r="188">
      <c r="A188" s="32"/>
      <c r="D188" s="16" t="s">
        <v>99</v>
      </c>
      <c r="E188" s="25">
        <f>E187/12</f>
        <v>0</v>
      </c>
      <c r="G188" s="16" t="s">
        <v>99</v>
      </c>
      <c r="H188" s="25">
        <f>H187/12</f>
        <v>33333.33333</v>
      </c>
      <c r="I188" s="19"/>
    </row>
    <row r="189">
      <c r="A189" s="42"/>
      <c r="D189" s="16" t="s">
        <v>101</v>
      </c>
      <c r="E189" s="25">
        <f>E188*5</f>
        <v>0</v>
      </c>
      <c r="G189" s="16" t="s">
        <v>101</v>
      </c>
      <c r="H189" s="25">
        <f>H188*5</f>
        <v>166666.6667</v>
      </c>
      <c r="I189" s="19"/>
    </row>
    <row r="190">
      <c r="A190" s="42"/>
      <c r="I190" s="19"/>
    </row>
    <row r="191">
      <c r="A191" s="42"/>
      <c r="D191" s="28" t="s">
        <v>124</v>
      </c>
      <c r="E191" s="41"/>
      <c r="F191" s="41"/>
      <c r="I191" s="19"/>
    </row>
    <row r="192">
      <c r="A192" s="42"/>
      <c r="D192" s="4" t="s">
        <v>126</v>
      </c>
      <c r="E192" s="25">
        <f t="shared" ref="E192:E194" si="29">H187-E187</f>
        <v>400000</v>
      </c>
      <c r="I192" s="19"/>
    </row>
    <row r="193">
      <c r="A193" s="42"/>
      <c r="D193" s="4" t="s">
        <v>128</v>
      </c>
      <c r="E193" s="25">
        <f t="shared" si="29"/>
        <v>33333.33333</v>
      </c>
      <c r="I193" s="19"/>
    </row>
    <row r="194">
      <c r="A194" s="32"/>
      <c r="D194" s="4" t="s">
        <v>129</v>
      </c>
      <c r="E194" s="25">
        <f t="shared" si="29"/>
        <v>166666.6667</v>
      </c>
      <c r="G194" s="43"/>
      <c r="I194" s="19"/>
    </row>
    <row r="195">
      <c r="A195" s="32"/>
      <c r="D195" s="28" t="s">
        <v>131</v>
      </c>
      <c r="I195" s="19"/>
    </row>
    <row r="196">
      <c r="A196" s="32"/>
      <c r="D196" s="4" t="s">
        <v>132</v>
      </c>
      <c r="E196" s="25">
        <f t="shared" ref="E196:E198" si="30">H187-E180</f>
        <v>363636.3636</v>
      </c>
      <c r="G196" s="28" t="s">
        <v>134</v>
      </c>
      <c r="I196" s="19"/>
    </row>
    <row r="197">
      <c r="A197" s="32"/>
      <c r="D197" s="4" t="s">
        <v>133</v>
      </c>
      <c r="E197" s="25">
        <f t="shared" si="30"/>
        <v>30303.0303</v>
      </c>
      <c r="G197" s="35" t="s">
        <v>137</v>
      </c>
      <c r="H197" s="25">
        <f>E182/H185</f>
        <v>0.006313131313</v>
      </c>
      <c r="I197" s="19"/>
    </row>
    <row r="198">
      <c r="A198" s="44"/>
      <c r="B198" s="45"/>
      <c r="C198" s="45"/>
      <c r="D198" s="47" t="s">
        <v>136</v>
      </c>
      <c r="E198" s="45">
        <f t="shared" si="30"/>
        <v>151515.1515</v>
      </c>
      <c r="F198" s="45"/>
      <c r="G198" s="48" t="s">
        <v>139</v>
      </c>
      <c r="H198" s="45">
        <f>H172-H197</f>
        <v>4.160353535</v>
      </c>
      <c r="I198" s="50"/>
    </row>
    <row r="200">
      <c r="A200" s="6" t="s">
        <v>70</v>
      </c>
      <c r="B200" s="34" t="s">
        <v>169</v>
      </c>
      <c r="C200" s="10"/>
      <c r="D200" s="9" t="s">
        <v>71</v>
      </c>
      <c r="E200" s="10"/>
      <c r="F200" s="10"/>
      <c r="G200" s="10"/>
      <c r="H200" s="10"/>
      <c r="I200" s="11"/>
    </row>
    <row r="201">
      <c r="A201" s="12" t="s">
        <v>72</v>
      </c>
      <c r="B201" s="13">
        <v>1000000.0</v>
      </c>
      <c r="D201" s="56" t="str">
        <f>B200</f>
        <v>Test Date</v>
      </c>
      <c r="E201" s="16" t="s">
        <v>73</v>
      </c>
      <c r="F201" s="17"/>
      <c r="G201" s="16" t="s">
        <v>74</v>
      </c>
      <c r="H201" s="16" t="s">
        <v>75</v>
      </c>
      <c r="I201" s="57" t="s">
        <v>76</v>
      </c>
    </row>
    <row r="202">
      <c r="A202" s="12" t="s">
        <v>78</v>
      </c>
      <c r="B202" s="13">
        <v>0.0</v>
      </c>
      <c r="D202" s="20" t="s">
        <v>72</v>
      </c>
      <c r="E202" s="21">
        <f t="shared" ref="E202:E203" si="31">B201</f>
        <v>1000000</v>
      </c>
      <c r="F202" s="20" t="s">
        <v>79</v>
      </c>
      <c r="G202" s="21">
        <f t="shared" ref="G202:G203" si="32">B204</f>
        <v>4</v>
      </c>
      <c r="H202" s="4">
        <f>G202+(G203/60)</f>
        <v>4.166666667</v>
      </c>
      <c r="I202" s="58">
        <f>B209</f>
        <v>6</v>
      </c>
    </row>
    <row r="203">
      <c r="A203" s="12" t="s">
        <v>81</v>
      </c>
      <c r="B203" s="14"/>
      <c r="D203" s="20" t="s">
        <v>78</v>
      </c>
      <c r="E203" s="21">
        <f t="shared" si="31"/>
        <v>0</v>
      </c>
      <c r="F203" s="20" t="s">
        <v>82</v>
      </c>
      <c r="G203" s="21">
        <f t="shared" si="32"/>
        <v>10</v>
      </c>
      <c r="I203" s="19"/>
    </row>
    <row r="204">
      <c r="A204" s="24" t="s">
        <v>79</v>
      </c>
      <c r="B204" s="13">
        <v>4.0</v>
      </c>
      <c r="D204" s="20" t="s">
        <v>84</v>
      </c>
      <c r="E204" s="25">
        <f>E202-E203</f>
        <v>1000000</v>
      </c>
      <c r="F204" s="26"/>
      <c r="G204" s="16" t="s">
        <v>85</v>
      </c>
      <c r="H204" s="16" t="s">
        <v>86</v>
      </c>
      <c r="I204" s="57" t="s">
        <v>87</v>
      </c>
    </row>
    <row r="205">
      <c r="A205" s="24" t="s">
        <v>89</v>
      </c>
      <c r="B205" s="13">
        <v>10.0</v>
      </c>
      <c r="D205" s="51"/>
      <c r="F205" s="20" t="s">
        <v>79</v>
      </c>
      <c r="G205" s="21">
        <f t="shared" ref="G205:G206" si="33">B207</f>
        <v>4</v>
      </c>
      <c r="H205" s="25">
        <f>G205+(G206/60)</f>
        <v>4.166666667</v>
      </c>
      <c r="I205" s="19">
        <f>H202-H205</f>
        <v>0</v>
      </c>
    </row>
    <row r="206">
      <c r="A206" s="12" t="s">
        <v>85</v>
      </c>
      <c r="B206" s="27"/>
      <c r="D206" s="51"/>
      <c r="F206" s="20" t="s">
        <v>82</v>
      </c>
      <c r="G206" s="21">
        <f t="shared" si="33"/>
        <v>10</v>
      </c>
      <c r="I206" s="19"/>
    </row>
    <row r="207">
      <c r="A207" s="24" t="s">
        <v>79</v>
      </c>
      <c r="B207" s="13">
        <v>4.0</v>
      </c>
      <c r="D207" s="16" t="s">
        <v>170</v>
      </c>
      <c r="I207" s="19"/>
    </row>
    <row r="208">
      <c r="A208" s="24" t="s">
        <v>89</v>
      </c>
      <c r="B208" s="13">
        <v>10.0</v>
      </c>
      <c r="D208" s="16" t="s">
        <v>92</v>
      </c>
      <c r="E208" s="25">
        <f>E202/H212</f>
        <v>218181.8182</v>
      </c>
      <c r="I208" s="19"/>
    </row>
    <row r="209">
      <c r="A209" s="12" t="s">
        <v>98</v>
      </c>
      <c r="B209" s="13">
        <v>6.0</v>
      </c>
      <c r="D209" s="16" t="s">
        <v>94</v>
      </c>
      <c r="E209" s="25">
        <f>E202/I202</f>
        <v>166666.6667</v>
      </c>
      <c r="I209" s="19"/>
    </row>
    <row r="210">
      <c r="A210" s="32"/>
      <c r="D210" s="16" t="s">
        <v>96</v>
      </c>
      <c r="E210" s="25">
        <f>E208/I202</f>
        <v>36363.63636</v>
      </c>
      <c r="F210" s="4"/>
      <c r="G210" s="4"/>
      <c r="H210" s="4"/>
      <c r="I210" s="59"/>
    </row>
    <row r="211">
      <c r="A211" s="60"/>
      <c r="D211" s="16" t="s">
        <v>99</v>
      </c>
      <c r="E211" s="25">
        <f>E210/12</f>
        <v>3030.30303</v>
      </c>
      <c r="F211" s="4" t="s">
        <v>171</v>
      </c>
      <c r="I211" s="59"/>
    </row>
    <row r="212">
      <c r="A212" s="61"/>
      <c r="D212" s="16" t="s">
        <v>101</v>
      </c>
      <c r="E212" s="25">
        <f>E211*5</f>
        <v>15151.51515</v>
      </c>
      <c r="F212" s="4" t="s">
        <v>171</v>
      </c>
      <c r="G212" s="35" t="s">
        <v>105</v>
      </c>
      <c r="H212" s="25">
        <f>H202+(25/60)</f>
        <v>4.583333333</v>
      </c>
      <c r="I212" s="19"/>
    </row>
    <row r="213">
      <c r="A213" s="61"/>
      <c r="D213" s="17"/>
      <c r="G213" s="35" t="s">
        <v>108</v>
      </c>
      <c r="H213" s="25">
        <f>I205+(25/60)</f>
        <v>0.4166666667</v>
      </c>
      <c r="I213" s="19"/>
    </row>
    <row r="214">
      <c r="A214" s="61"/>
      <c r="D214" s="16" t="s">
        <v>111</v>
      </c>
      <c r="G214" s="16" t="s">
        <v>112</v>
      </c>
      <c r="I214" s="19"/>
    </row>
    <row r="215">
      <c r="A215" s="61"/>
      <c r="D215" s="16" t="s">
        <v>92</v>
      </c>
      <c r="E215" s="25">
        <f>E203/H205</f>
        <v>0</v>
      </c>
      <c r="G215" s="16" t="s">
        <v>92</v>
      </c>
      <c r="H215" s="25">
        <f>E204/H213</f>
        <v>2400000</v>
      </c>
      <c r="I215" s="19"/>
    </row>
    <row r="216">
      <c r="A216" s="61"/>
      <c r="D216" s="16" t="s">
        <v>94</v>
      </c>
      <c r="E216" s="25">
        <f>E203/I202</f>
        <v>0</v>
      </c>
      <c r="G216" s="16" t="s">
        <v>94</v>
      </c>
      <c r="H216" s="25">
        <f>E204/I202</f>
        <v>166666.6667</v>
      </c>
      <c r="I216" s="19"/>
    </row>
    <row r="217">
      <c r="A217" s="60"/>
      <c r="D217" s="16" t="s">
        <v>96</v>
      </c>
      <c r="E217" s="25">
        <f>E216/H205</f>
        <v>0</v>
      </c>
      <c r="G217" s="16" t="s">
        <v>96</v>
      </c>
      <c r="H217" s="25">
        <f>H216/H213</f>
        <v>400000</v>
      </c>
      <c r="I217" s="19"/>
    </row>
    <row r="218">
      <c r="A218" s="32"/>
      <c r="D218" s="16" t="s">
        <v>99</v>
      </c>
      <c r="E218" s="25">
        <f>E217/12</f>
        <v>0</v>
      </c>
      <c r="G218" s="16" t="s">
        <v>99</v>
      </c>
      <c r="H218" s="25">
        <f>H217/12</f>
        <v>33333.33333</v>
      </c>
      <c r="I218" s="19"/>
    </row>
    <row r="219">
      <c r="A219" s="42"/>
      <c r="D219" s="16" t="s">
        <v>101</v>
      </c>
      <c r="E219" s="25">
        <f>E218*5</f>
        <v>0</v>
      </c>
      <c r="G219" s="16" t="s">
        <v>101</v>
      </c>
      <c r="H219" s="25">
        <f>H218*5</f>
        <v>166666.6667</v>
      </c>
      <c r="I219" s="19"/>
    </row>
    <row r="220">
      <c r="A220" s="42"/>
      <c r="I220" s="19"/>
    </row>
    <row r="221">
      <c r="A221" s="42"/>
      <c r="D221" s="28" t="s">
        <v>124</v>
      </c>
      <c r="E221" s="41"/>
      <c r="F221" s="41"/>
      <c r="I221" s="19"/>
    </row>
    <row r="222">
      <c r="A222" s="42"/>
      <c r="D222" s="4" t="s">
        <v>126</v>
      </c>
      <c r="E222" s="25">
        <f t="shared" ref="E222:E224" si="34">H217-E217</f>
        <v>400000</v>
      </c>
      <c r="I222" s="19"/>
    </row>
    <row r="223">
      <c r="A223" s="42"/>
      <c r="D223" s="4" t="s">
        <v>128</v>
      </c>
      <c r="E223" s="25">
        <f t="shared" si="34"/>
        <v>33333.33333</v>
      </c>
      <c r="I223" s="19"/>
    </row>
    <row r="224">
      <c r="A224" s="32"/>
      <c r="D224" s="4" t="s">
        <v>129</v>
      </c>
      <c r="E224" s="25">
        <f t="shared" si="34"/>
        <v>166666.6667</v>
      </c>
      <c r="G224" s="43"/>
      <c r="I224" s="19"/>
    </row>
    <row r="225">
      <c r="A225" s="32"/>
      <c r="D225" s="28" t="s">
        <v>131</v>
      </c>
      <c r="I225" s="19"/>
    </row>
    <row r="226">
      <c r="A226" s="32"/>
      <c r="D226" s="4" t="s">
        <v>132</v>
      </c>
      <c r="E226" s="25">
        <f t="shared" ref="E226:E228" si="35">H217-E210</f>
        <v>363636.3636</v>
      </c>
      <c r="G226" s="28" t="s">
        <v>134</v>
      </c>
      <c r="I226" s="19"/>
    </row>
    <row r="227">
      <c r="A227" s="32"/>
      <c r="D227" s="4" t="s">
        <v>133</v>
      </c>
      <c r="E227" s="25">
        <f t="shared" si="35"/>
        <v>30303.0303</v>
      </c>
      <c r="G227" s="35" t="s">
        <v>137</v>
      </c>
      <c r="H227" s="25">
        <f>E212/H215</f>
        <v>0.006313131313</v>
      </c>
      <c r="I227" s="19"/>
    </row>
    <row r="228">
      <c r="A228" s="44"/>
      <c r="B228" s="45"/>
      <c r="C228" s="45"/>
      <c r="D228" s="47" t="s">
        <v>136</v>
      </c>
      <c r="E228" s="45">
        <f t="shared" si="35"/>
        <v>151515.1515</v>
      </c>
      <c r="F228" s="45"/>
      <c r="G228" s="48" t="s">
        <v>139</v>
      </c>
      <c r="H228" s="45">
        <f>H202-H227</f>
        <v>4.160353535</v>
      </c>
      <c r="I228" s="50"/>
    </row>
    <row r="230">
      <c r="A230" s="6" t="s">
        <v>70</v>
      </c>
      <c r="B230" s="34" t="s">
        <v>169</v>
      </c>
      <c r="C230" s="10"/>
      <c r="D230" s="9" t="s">
        <v>71</v>
      </c>
      <c r="E230" s="10"/>
      <c r="F230" s="10"/>
      <c r="G230" s="10"/>
      <c r="H230" s="10"/>
      <c r="I230" s="11"/>
    </row>
    <row r="231">
      <c r="A231" s="12" t="s">
        <v>72</v>
      </c>
      <c r="B231" s="13">
        <v>1000000.0</v>
      </c>
      <c r="D231" s="56" t="str">
        <f>B230</f>
        <v>Test Date</v>
      </c>
      <c r="E231" s="16" t="s">
        <v>73</v>
      </c>
      <c r="F231" s="17"/>
      <c r="G231" s="16" t="s">
        <v>74</v>
      </c>
      <c r="H231" s="16" t="s">
        <v>75</v>
      </c>
      <c r="I231" s="57" t="s">
        <v>76</v>
      </c>
    </row>
    <row r="232">
      <c r="A232" s="12" t="s">
        <v>78</v>
      </c>
      <c r="B232" s="13">
        <v>0.0</v>
      </c>
      <c r="D232" s="20" t="s">
        <v>72</v>
      </c>
      <c r="E232" s="21">
        <f t="shared" ref="E232:E233" si="36">B231</f>
        <v>1000000</v>
      </c>
      <c r="F232" s="20" t="s">
        <v>79</v>
      </c>
      <c r="G232" s="21">
        <f t="shared" ref="G232:G233" si="37">B234</f>
        <v>4</v>
      </c>
      <c r="H232" s="4">
        <f>G232+(G233/60)</f>
        <v>4.166666667</v>
      </c>
      <c r="I232" s="58">
        <f>B239</f>
        <v>6</v>
      </c>
    </row>
    <row r="233">
      <c r="A233" s="12" t="s">
        <v>81</v>
      </c>
      <c r="B233" s="14"/>
      <c r="D233" s="20" t="s">
        <v>78</v>
      </c>
      <c r="E233" s="21">
        <f t="shared" si="36"/>
        <v>0</v>
      </c>
      <c r="F233" s="20" t="s">
        <v>82</v>
      </c>
      <c r="G233" s="21">
        <f t="shared" si="37"/>
        <v>10</v>
      </c>
      <c r="I233" s="19"/>
    </row>
    <row r="234">
      <c r="A234" s="24" t="s">
        <v>79</v>
      </c>
      <c r="B234" s="13">
        <v>4.0</v>
      </c>
      <c r="D234" s="20" t="s">
        <v>84</v>
      </c>
      <c r="E234" s="25">
        <f>E232-E233</f>
        <v>1000000</v>
      </c>
      <c r="F234" s="26"/>
      <c r="G234" s="16" t="s">
        <v>85</v>
      </c>
      <c r="H234" s="16" t="s">
        <v>86</v>
      </c>
      <c r="I234" s="57" t="s">
        <v>87</v>
      </c>
    </row>
    <row r="235">
      <c r="A235" s="24" t="s">
        <v>89</v>
      </c>
      <c r="B235" s="13">
        <v>10.0</v>
      </c>
      <c r="D235" s="51"/>
      <c r="F235" s="20" t="s">
        <v>79</v>
      </c>
      <c r="G235" s="21">
        <f t="shared" ref="G235:G236" si="38">B237</f>
        <v>4</v>
      </c>
      <c r="H235" s="25">
        <f>G235+(G236/60)</f>
        <v>4.166666667</v>
      </c>
      <c r="I235" s="19">
        <f>H232-H235</f>
        <v>0</v>
      </c>
    </row>
    <row r="236">
      <c r="A236" s="12" t="s">
        <v>85</v>
      </c>
      <c r="B236" s="27"/>
      <c r="D236" s="51"/>
      <c r="F236" s="20" t="s">
        <v>82</v>
      </c>
      <c r="G236" s="21">
        <f t="shared" si="38"/>
        <v>10</v>
      </c>
      <c r="I236" s="19"/>
    </row>
    <row r="237">
      <c r="A237" s="24" t="s">
        <v>79</v>
      </c>
      <c r="B237" s="13">
        <v>4.0</v>
      </c>
      <c r="D237" s="16" t="s">
        <v>170</v>
      </c>
      <c r="I237" s="19"/>
    </row>
    <row r="238">
      <c r="A238" s="24" t="s">
        <v>89</v>
      </c>
      <c r="B238" s="13">
        <v>10.0</v>
      </c>
      <c r="D238" s="16" t="s">
        <v>92</v>
      </c>
      <c r="E238" s="25">
        <f>E232/H242</f>
        <v>218181.8182</v>
      </c>
      <c r="I238" s="19"/>
    </row>
    <row r="239">
      <c r="A239" s="12" t="s">
        <v>98</v>
      </c>
      <c r="B239" s="13">
        <v>6.0</v>
      </c>
      <c r="D239" s="16" t="s">
        <v>94</v>
      </c>
      <c r="E239" s="25">
        <f>E232/I232</f>
        <v>166666.6667</v>
      </c>
      <c r="I239" s="19"/>
    </row>
    <row r="240">
      <c r="A240" s="32"/>
      <c r="D240" s="16" t="s">
        <v>96</v>
      </c>
      <c r="E240" s="25">
        <f>E238/I232</f>
        <v>36363.63636</v>
      </c>
      <c r="F240" s="4"/>
      <c r="G240" s="4"/>
      <c r="H240" s="4"/>
      <c r="I240" s="59"/>
    </row>
    <row r="241">
      <c r="A241" s="60"/>
      <c r="D241" s="16" t="s">
        <v>99</v>
      </c>
      <c r="E241" s="25">
        <f>E240/12</f>
        <v>3030.30303</v>
      </c>
      <c r="F241" s="4" t="s">
        <v>171</v>
      </c>
      <c r="I241" s="59"/>
    </row>
    <row r="242">
      <c r="A242" s="61"/>
      <c r="D242" s="16" t="s">
        <v>101</v>
      </c>
      <c r="E242" s="25">
        <f>E241*5</f>
        <v>15151.51515</v>
      </c>
      <c r="F242" s="4" t="s">
        <v>171</v>
      </c>
      <c r="G242" s="35" t="s">
        <v>105</v>
      </c>
      <c r="H242" s="25">
        <f>H232+(25/60)</f>
        <v>4.583333333</v>
      </c>
      <c r="I242" s="19"/>
    </row>
    <row r="243">
      <c r="A243" s="61"/>
      <c r="D243" s="17"/>
      <c r="G243" s="35" t="s">
        <v>108</v>
      </c>
      <c r="H243" s="25">
        <f>I235+(25/60)</f>
        <v>0.4166666667</v>
      </c>
      <c r="I243" s="19"/>
    </row>
    <row r="244">
      <c r="A244" s="61"/>
      <c r="D244" s="16" t="s">
        <v>111</v>
      </c>
      <c r="G244" s="16" t="s">
        <v>112</v>
      </c>
      <c r="I244" s="19"/>
    </row>
    <row r="245">
      <c r="A245" s="61"/>
      <c r="D245" s="16" t="s">
        <v>92</v>
      </c>
      <c r="E245" s="25">
        <f>E233/H235</f>
        <v>0</v>
      </c>
      <c r="G245" s="16" t="s">
        <v>92</v>
      </c>
      <c r="H245" s="25">
        <f>E234/H243</f>
        <v>2400000</v>
      </c>
      <c r="I245" s="19"/>
    </row>
    <row r="246">
      <c r="A246" s="61"/>
      <c r="D246" s="16" t="s">
        <v>94</v>
      </c>
      <c r="E246" s="25">
        <f>E233/I232</f>
        <v>0</v>
      </c>
      <c r="G246" s="16" t="s">
        <v>94</v>
      </c>
      <c r="H246" s="25">
        <f>E234/I232</f>
        <v>166666.6667</v>
      </c>
      <c r="I246" s="19"/>
    </row>
    <row r="247">
      <c r="A247" s="60"/>
      <c r="D247" s="16" t="s">
        <v>96</v>
      </c>
      <c r="E247" s="25">
        <f>E246/H235</f>
        <v>0</v>
      </c>
      <c r="G247" s="16" t="s">
        <v>96</v>
      </c>
      <c r="H247" s="25">
        <f>H246/H243</f>
        <v>400000</v>
      </c>
      <c r="I247" s="19"/>
    </row>
    <row r="248">
      <c r="A248" s="32"/>
      <c r="D248" s="16" t="s">
        <v>99</v>
      </c>
      <c r="E248" s="25">
        <f>E247/12</f>
        <v>0</v>
      </c>
      <c r="G248" s="16" t="s">
        <v>99</v>
      </c>
      <c r="H248" s="25">
        <f>H247/12</f>
        <v>33333.33333</v>
      </c>
      <c r="I248" s="19"/>
    </row>
    <row r="249">
      <c r="A249" s="42"/>
      <c r="D249" s="16" t="s">
        <v>101</v>
      </c>
      <c r="E249" s="25">
        <f>E248*5</f>
        <v>0</v>
      </c>
      <c r="G249" s="16" t="s">
        <v>101</v>
      </c>
      <c r="H249" s="25">
        <f>H248*5</f>
        <v>166666.6667</v>
      </c>
      <c r="I249" s="19"/>
    </row>
    <row r="250">
      <c r="A250" s="42"/>
      <c r="I250" s="19"/>
    </row>
    <row r="251">
      <c r="A251" s="42"/>
      <c r="D251" s="28" t="s">
        <v>124</v>
      </c>
      <c r="E251" s="41"/>
      <c r="F251" s="41"/>
      <c r="I251" s="19"/>
    </row>
    <row r="252">
      <c r="A252" s="42"/>
      <c r="D252" s="4" t="s">
        <v>126</v>
      </c>
      <c r="E252" s="25">
        <f t="shared" ref="E252:E254" si="39">H247-E247</f>
        <v>400000</v>
      </c>
      <c r="I252" s="19"/>
    </row>
    <row r="253">
      <c r="A253" s="42"/>
      <c r="D253" s="4" t="s">
        <v>128</v>
      </c>
      <c r="E253" s="25">
        <f t="shared" si="39"/>
        <v>33333.33333</v>
      </c>
      <c r="I253" s="19"/>
    </row>
    <row r="254">
      <c r="A254" s="32"/>
      <c r="D254" s="4" t="s">
        <v>129</v>
      </c>
      <c r="E254" s="25">
        <f t="shared" si="39"/>
        <v>166666.6667</v>
      </c>
      <c r="G254" s="43"/>
      <c r="I254" s="19"/>
    </row>
    <row r="255">
      <c r="A255" s="32"/>
      <c r="D255" s="28" t="s">
        <v>131</v>
      </c>
      <c r="I255" s="19"/>
    </row>
    <row r="256">
      <c r="A256" s="32"/>
      <c r="D256" s="4" t="s">
        <v>132</v>
      </c>
      <c r="E256" s="25">
        <f t="shared" ref="E256:E258" si="40">H247-E240</f>
        <v>363636.3636</v>
      </c>
      <c r="G256" s="28" t="s">
        <v>134</v>
      </c>
      <c r="I256" s="19"/>
    </row>
    <row r="257">
      <c r="A257" s="32"/>
      <c r="D257" s="4" t="s">
        <v>133</v>
      </c>
      <c r="E257" s="25">
        <f t="shared" si="40"/>
        <v>30303.0303</v>
      </c>
      <c r="G257" s="35" t="s">
        <v>137</v>
      </c>
      <c r="H257" s="25">
        <f>E242/H245</f>
        <v>0.006313131313</v>
      </c>
      <c r="I257" s="19"/>
    </row>
    <row r="258">
      <c r="A258" s="44"/>
      <c r="B258" s="45"/>
      <c r="C258" s="45"/>
      <c r="D258" s="47" t="s">
        <v>136</v>
      </c>
      <c r="E258" s="45">
        <f t="shared" si="40"/>
        <v>151515.1515</v>
      </c>
      <c r="F258" s="45"/>
      <c r="G258" s="48" t="s">
        <v>139</v>
      </c>
      <c r="H258" s="45">
        <f>H232-H257</f>
        <v>4.160353535</v>
      </c>
      <c r="I258" s="50"/>
    </row>
    <row r="260">
      <c r="A260" s="6" t="s">
        <v>70</v>
      </c>
      <c r="B260" s="34" t="s">
        <v>169</v>
      </c>
      <c r="C260" s="10"/>
      <c r="D260" s="9" t="s">
        <v>71</v>
      </c>
      <c r="E260" s="10"/>
      <c r="F260" s="10"/>
      <c r="G260" s="10"/>
      <c r="H260" s="10"/>
      <c r="I260" s="11"/>
    </row>
    <row r="261">
      <c r="A261" s="12" t="s">
        <v>72</v>
      </c>
      <c r="B261" s="13">
        <v>1000000.0</v>
      </c>
      <c r="D261" s="56" t="str">
        <f>B260</f>
        <v>Test Date</v>
      </c>
      <c r="E261" s="16" t="s">
        <v>73</v>
      </c>
      <c r="F261" s="17"/>
      <c r="G261" s="16" t="s">
        <v>74</v>
      </c>
      <c r="H261" s="16" t="s">
        <v>75</v>
      </c>
      <c r="I261" s="57" t="s">
        <v>76</v>
      </c>
    </row>
    <row r="262">
      <c r="A262" s="12" t="s">
        <v>78</v>
      </c>
      <c r="B262" s="13">
        <v>0.0</v>
      </c>
      <c r="D262" s="20" t="s">
        <v>72</v>
      </c>
      <c r="E262" s="21">
        <f t="shared" ref="E262:E263" si="41">B261</f>
        <v>1000000</v>
      </c>
      <c r="F262" s="20" t="s">
        <v>79</v>
      </c>
      <c r="G262" s="21">
        <f t="shared" ref="G262:G263" si="42">B264</f>
        <v>4</v>
      </c>
      <c r="H262" s="4">
        <f>G262+(G263/60)</f>
        <v>4.166666667</v>
      </c>
      <c r="I262" s="58">
        <f>B269</f>
        <v>6</v>
      </c>
    </row>
    <row r="263">
      <c r="A263" s="12" t="s">
        <v>81</v>
      </c>
      <c r="B263" s="14"/>
      <c r="D263" s="20" t="s">
        <v>78</v>
      </c>
      <c r="E263" s="21">
        <f t="shared" si="41"/>
        <v>0</v>
      </c>
      <c r="F263" s="20" t="s">
        <v>82</v>
      </c>
      <c r="G263" s="21">
        <f t="shared" si="42"/>
        <v>10</v>
      </c>
      <c r="I263" s="19"/>
    </row>
    <row r="264">
      <c r="A264" s="24" t="s">
        <v>79</v>
      </c>
      <c r="B264" s="13">
        <v>4.0</v>
      </c>
      <c r="D264" s="20" t="s">
        <v>84</v>
      </c>
      <c r="E264" s="25">
        <f>E262-E263</f>
        <v>1000000</v>
      </c>
      <c r="F264" s="26"/>
      <c r="G264" s="16" t="s">
        <v>85</v>
      </c>
      <c r="H264" s="16" t="s">
        <v>86</v>
      </c>
      <c r="I264" s="57" t="s">
        <v>87</v>
      </c>
    </row>
    <row r="265">
      <c r="A265" s="24" t="s">
        <v>89</v>
      </c>
      <c r="B265" s="13">
        <v>10.0</v>
      </c>
      <c r="D265" s="51"/>
      <c r="F265" s="20" t="s">
        <v>79</v>
      </c>
      <c r="G265" s="21">
        <f t="shared" ref="G265:G266" si="43">B267</f>
        <v>4</v>
      </c>
      <c r="H265" s="25">
        <f>G265+(G266/60)</f>
        <v>4.166666667</v>
      </c>
      <c r="I265" s="19">
        <f>H262-H265</f>
        <v>0</v>
      </c>
    </row>
    <row r="266">
      <c r="A266" s="12" t="s">
        <v>85</v>
      </c>
      <c r="B266" s="27"/>
      <c r="D266" s="51"/>
      <c r="F266" s="20" t="s">
        <v>82</v>
      </c>
      <c r="G266" s="21">
        <f t="shared" si="43"/>
        <v>10</v>
      </c>
      <c r="I266" s="19"/>
    </row>
    <row r="267">
      <c r="A267" s="24" t="s">
        <v>79</v>
      </c>
      <c r="B267" s="13">
        <v>4.0</v>
      </c>
      <c r="D267" s="16" t="s">
        <v>170</v>
      </c>
      <c r="I267" s="19"/>
    </row>
    <row r="268">
      <c r="A268" s="24" t="s">
        <v>89</v>
      </c>
      <c r="B268" s="13">
        <v>10.0</v>
      </c>
      <c r="D268" s="16" t="s">
        <v>92</v>
      </c>
      <c r="E268" s="25">
        <f>E262/H272</f>
        <v>218181.8182</v>
      </c>
      <c r="I268" s="19"/>
    </row>
    <row r="269">
      <c r="A269" s="12" t="s">
        <v>98</v>
      </c>
      <c r="B269" s="13">
        <v>6.0</v>
      </c>
      <c r="D269" s="16" t="s">
        <v>94</v>
      </c>
      <c r="E269" s="25">
        <f>E262/I262</f>
        <v>166666.6667</v>
      </c>
      <c r="I269" s="19"/>
    </row>
    <row r="270">
      <c r="A270" s="32"/>
      <c r="D270" s="16" t="s">
        <v>96</v>
      </c>
      <c r="E270" s="25">
        <f>E268/I262</f>
        <v>36363.63636</v>
      </c>
      <c r="F270" s="4"/>
      <c r="G270" s="4"/>
      <c r="H270" s="4"/>
      <c r="I270" s="59"/>
    </row>
    <row r="271">
      <c r="A271" s="60"/>
      <c r="D271" s="16" t="s">
        <v>99</v>
      </c>
      <c r="E271" s="25">
        <f>E270/12</f>
        <v>3030.30303</v>
      </c>
      <c r="F271" s="4" t="s">
        <v>171</v>
      </c>
      <c r="I271" s="59"/>
    </row>
    <row r="272">
      <c r="A272" s="61"/>
      <c r="D272" s="16" t="s">
        <v>101</v>
      </c>
      <c r="E272" s="25">
        <f>E271*5</f>
        <v>15151.51515</v>
      </c>
      <c r="F272" s="4" t="s">
        <v>171</v>
      </c>
      <c r="G272" s="35" t="s">
        <v>105</v>
      </c>
      <c r="H272" s="25">
        <f>H262+(25/60)</f>
        <v>4.583333333</v>
      </c>
      <c r="I272" s="19"/>
    </row>
    <row r="273">
      <c r="A273" s="61"/>
      <c r="D273" s="17"/>
      <c r="G273" s="35" t="s">
        <v>108</v>
      </c>
      <c r="H273" s="25">
        <f>I265+(25/60)</f>
        <v>0.4166666667</v>
      </c>
      <c r="I273" s="19"/>
    </row>
    <row r="274">
      <c r="A274" s="61"/>
      <c r="D274" s="16" t="s">
        <v>111</v>
      </c>
      <c r="G274" s="16" t="s">
        <v>112</v>
      </c>
      <c r="I274" s="19"/>
    </row>
    <row r="275">
      <c r="A275" s="61"/>
      <c r="D275" s="16" t="s">
        <v>92</v>
      </c>
      <c r="E275" s="25">
        <f>E263/H265</f>
        <v>0</v>
      </c>
      <c r="G275" s="16" t="s">
        <v>92</v>
      </c>
      <c r="H275" s="25">
        <f>E264/H273</f>
        <v>2400000</v>
      </c>
      <c r="I275" s="19"/>
    </row>
    <row r="276">
      <c r="A276" s="61"/>
      <c r="D276" s="16" t="s">
        <v>94</v>
      </c>
      <c r="E276" s="25">
        <f>E263/I262</f>
        <v>0</v>
      </c>
      <c r="G276" s="16" t="s">
        <v>94</v>
      </c>
      <c r="H276" s="25">
        <f>E264/I262</f>
        <v>166666.6667</v>
      </c>
      <c r="I276" s="19"/>
    </row>
    <row r="277">
      <c r="A277" s="60"/>
      <c r="D277" s="16" t="s">
        <v>96</v>
      </c>
      <c r="E277" s="25">
        <f>E276/H265</f>
        <v>0</v>
      </c>
      <c r="G277" s="16" t="s">
        <v>96</v>
      </c>
      <c r="H277" s="25">
        <f>H276/H273</f>
        <v>400000</v>
      </c>
      <c r="I277" s="19"/>
    </row>
    <row r="278">
      <c r="A278" s="32"/>
      <c r="D278" s="16" t="s">
        <v>99</v>
      </c>
      <c r="E278" s="25">
        <f>E277/12</f>
        <v>0</v>
      </c>
      <c r="G278" s="16" t="s">
        <v>99</v>
      </c>
      <c r="H278" s="25">
        <f>H277/12</f>
        <v>33333.33333</v>
      </c>
      <c r="I278" s="19"/>
    </row>
    <row r="279">
      <c r="A279" s="42"/>
      <c r="D279" s="16" t="s">
        <v>101</v>
      </c>
      <c r="E279" s="25">
        <f>E278*5</f>
        <v>0</v>
      </c>
      <c r="G279" s="16" t="s">
        <v>101</v>
      </c>
      <c r="H279" s="25">
        <f>H278*5</f>
        <v>166666.6667</v>
      </c>
      <c r="I279" s="19"/>
    </row>
    <row r="280">
      <c r="A280" s="42"/>
      <c r="I280" s="19"/>
    </row>
    <row r="281">
      <c r="A281" s="42"/>
      <c r="D281" s="28" t="s">
        <v>124</v>
      </c>
      <c r="E281" s="41"/>
      <c r="F281" s="41"/>
      <c r="I281" s="19"/>
    </row>
    <row r="282">
      <c r="A282" s="42"/>
      <c r="D282" s="4" t="s">
        <v>126</v>
      </c>
      <c r="E282" s="25">
        <f t="shared" ref="E282:E284" si="44">H277-E277</f>
        <v>400000</v>
      </c>
      <c r="I282" s="19"/>
    </row>
    <row r="283">
      <c r="A283" s="42"/>
      <c r="D283" s="4" t="s">
        <v>128</v>
      </c>
      <c r="E283" s="25">
        <f t="shared" si="44"/>
        <v>33333.33333</v>
      </c>
      <c r="I283" s="19"/>
    </row>
    <row r="284">
      <c r="A284" s="32"/>
      <c r="D284" s="4" t="s">
        <v>129</v>
      </c>
      <c r="E284" s="25">
        <f t="shared" si="44"/>
        <v>166666.6667</v>
      </c>
      <c r="G284" s="43"/>
      <c r="I284" s="19"/>
    </row>
    <row r="285">
      <c r="A285" s="32"/>
      <c r="D285" s="28" t="s">
        <v>131</v>
      </c>
      <c r="I285" s="19"/>
    </row>
    <row r="286">
      <c r="A286" s="32"/>
      <c r="D286" s="4" t="s">
        <v>132</v>
      </c>
      <c r="E286" s="25">
        <f t="shared" ref="E286:E288" si="45">H277-E270</f>
        <v>363636.3636</v>
      </c>
      <c r="G286" s="28" t="s">
        <v>134</v>
      </c>
      <c r="I286" s="19"/>
    </row>
    <row r="287">
      <c r="A287" s="32"/>
      <c r="D287" s="4" t="s">
        <v>133</v>
      </c>
      <c r="E287" s="25">
        <f t="shared" si="45"/>
        <v>30303.0303</v>
      </c>
      <c r="G287" s="35" t="s">
        <v>137</v>
      </c>
      <c r="H287" s="25">
        <f>E272/H275</f>
        <v>0.006313131313</v>
      </c>
      <c r="I287" s="19"/>
    </row>
    <row r="288">
      <c r="A288" s="44"/>
      <c r="B288" s="45"/>
      <c r="C288" s="45"/>
      <c r="D288" s="47" t="s">
        <v>136</v>
      </c>
      <c r="E288" s="45">
        <f t="shared" si="45"/>
        <v>151515.1515</v>
      </c>
      <c r="F288" s="45"/>
      <c r="G288" s="48" t="s">
        <v>139</v>
      </c>
      <c r="H288" s="45">
        <f>H262-H287</f>
        <v>4.160353535</v>
      </c>
      <c r="I288" s="50"/>
    </row>
    <row r="290">
      <c r="A290" s="6" t="s">
        <v>70</v>
      </c>
      <c r="B290" s="34" t="s">
        <v>169</v>
      </c>
      <c r="C290" s="10"/>
      <c r="D290" s="9" t="s">
        <v>71</v>
      </c>
      <c r="E290" s="10"/>
      <c r="F290" s="10"/>
      <c r="G290" s="10"/>
      <c r="H290" s="10"/>
      <c r="I290" s="11"/>
    </row>
    <row r="291">
      <c r="A291" s="12" t="s">
        <v>72</v>
      </c>
      <c r="B291" s="13">
        <v>1000000.0</v>
      </c>
      <c r="D291" s="56" t="str">
        <f>B290</f>
        <v>Test Date</v>
      </c>
      <c r="E291" s="16" t="s">
        <v>73</v>
      </c>
      <c r="F291" s="17"/>
      <c r="G291" s="16" t="s">
        <v>74</v>
      </c>
      <c r="H291" s="16" t="s">
        <v>75</v>
      </c>
      <c r="I291" s="57" t="s">
        <v>76</v>
      </c>
    </row>
    <row r="292">
      <c r="A292" s="12" t="s">
        <v>78</v>
      </c>
      <c r="B292" s="13">
        <v>0.0</v>
      </c>
      <c r="D292" s="20" t="s">
        <v>72</v>
      </c>
      <c r="E292" s="21">
        <f t="shared" ref="E292:E293" si="46">B291</f>
        <v>1000000</v>
      </c>
      <c r="F292" s="20" t="s">
        <v>79</v>
      </c>
      <c r="G292" s="21">
        <f t="shared" ref="G292:G293" si="47">B294</f>
        <v>4</v>
      </c>
      <c r="H292" s="4">
        <f>G292+(G293/60)</f>
        <v>4.166666667</v>
      </c>
      <c r="I292" s="58">
        <f>B299</f>
        <v>6</v>
      </c>
    </row>
    <row r="293">
      <c r="A293" s="12" t="s">
        <v>81</v>
      </c>
      <c r="B293" s="14"/>
      <c r="D293" s="20" t="s">
        <v>78</v>
      </c>
      <c r="E293" s="21">
        <f t="shared" si="46"/>
        <v>0</v>
      </c>
      <c r="F293" s="20" t="s">
        <v>82</v>
      </c>
      <c r="G293" s="21">
        <f t="shared" si="47"/>
        <v>10</v>
      </c>
      <c r="I293" s="19"/>
    </row>
    <row r="294">
      <c r="A294" s="24" t="s">
        <v>79</v>
      </c>
      <c r="B294" s="13">
        <v>4.0</v>
      </c>
      <c r="D294" s="20" t="s">
        <v>84</v>
      </c>
      <c r="E294" s="25">
        <f>E292-E293</f>
        <v>1000000</v>
      </c>
      <c r="F294" s="26"/>
      <c r="G294" s="16" t="s">
        <v>85</v>
      </c>
      <c r="H294" s="16" t="s">
        <v>86</v>
      </c>
      <c r="I294" s="57" t="s">
        <v>87</v>
      </c>
    </row>
    <row r="295">
      <c r="A295" s="24" t="s">
        <v>89</v>
      </c>
      <c r="B295" s="13">
        <v>10.0</v>
      </c>
      <c r="D295" s="51"/>
      <c r="F295" s="20" t="s">
        <v>79</v>
      </c>
      <c r="G295" s="21">
        <f t="shared" ref="G295:G296" si="48">B297</f>
        <v>4</v>
      </c>
      <c r="H295" s="25">
        <f>G295+(G296/60)</f>
        <v>4.166666667</v>
      </c>
      <c r="I295" s="19">
        <f>H292-H295</f>
        <v>0</v>
      </c>
    </row>
    <row r="296">
      <c r="A296" s="12" t="s">
        <v>85</v>
      </c>
      <c r="B296" s="27"/>
      <c r="D296" s="51"/>
      <c r="F296" s="20" t="s">
        <v>82</v>
      </c>
      <c r="G296" s="21">
        <f t="shared" si="48"/>
        <v>10</v>
      </c>
      <c r="I296" s="19"/>
    </row>
    <row r="297">
      <c r="A297" s="24" t="s">
        <v>79</v>
      </c>
      <c r="B297" s="13">
        <v>4.0</v>
      </c>
      <c r="D297" s="16" t="s">
        <v>170</v>
      </c>
      <c r="I297" s="19"/>
    </row>
    <row r="298">
      <c r="A298" s="24" t="s">
        <v>89</v>
      </c>
      <c r="B298" s="13">
        <v>10.0</v>
      </c>
      <c r="D298" s="16" t="s">
        <v>92</v>
      </c>
      <c r="E298" s="25">
        <f>E292/H302</f>
        <v>218181.8182</v>
      </c>
      <c r="I298" s="19"/>
    </row>
    <row r="299">
      <c r="A299" s="12" t="s">
        <v>98</v>
      </c>
      <c r="B299" s="13">
        <v>6.0</v>
      </c>
      <c r="D299" s="16" t="s">
        <v>94</v>
      </c>
      <c r="E299" s="25">
        <f>E292/I292</f>
        <v>166666.6667</v>
      </c>
      <c r="I299" s="19"/>
    </row>
    <row r="300">
      <c r="A300" s="32"/>
      <c r="D300" s="16" t="s">
        <v>96</v>
      </c>
      <c r="E300" s="25">
        <f>E298/I292</f>
        <v>36363.63636</v>
      </c>
      <c r="F300" s="4"/>
      <c r="G300" s="4"/>
      <c r="H300" s="4"/>
      <c r="I300" s="59"/>
    </row>
    <row r="301">
      <c r="A301" s="60"/>
      <c r="D301" s="16" t="s">
        <v>99</v>
      </c>
      <c r="E301" s="25">
        <f>E300/12</f>
        <v>3030.30303</v>
      </c>
      <c r="F301" s="4" t="s">
        <v>171</v>
      </c>
      <c r="I301" s="59"/>
    </row>
    <row r="302">
      <c r="A302" s="61"/>
      <c r="D302" s="16" t="s">
        <v>101</v>
      </c>
      <c r="E302" s="25">
        <f>E301*5</f>
        <v>15151.51515</v>
      </c>
      <c r="F302" s="4" t="s">
        <v>171</v>
      </c>
      <c r="G302" s="35" t="s">
        <v>105</v>
      </c>
      <c r="H302" s="25">
        <f>H292+(25/60)</f>
        <v>4.583333333</v>
      </c>
      <c r="I302" s="19"/>
    </row>
    <row r="303">
      <c r="A303" s="61"/>
      <c r="D303" s="17"/>
      <c r="G303" s="35" t="s">
        <v>108</v>
      </c>
      <c r="H303" s="25">
        <f>I295+(25/60)</f>
        <v>0.4166666667</v>
      </c>
      <c r="I303" s="19"/>
    </row>
    <row r="304">
      <c r="A304" s="61"/>
      <c r="D304" s="16" t="s">
        <v>111</v>
      </c>
      <c r="G304" s="16" t="s">
        <v>112</v>
      </c>
      <c r="I304" s="19"/>
    </row>
    <row r="305">
      <c r="A305" s="61"/>
      <c r="D305" s="16" t="s">
        <v>92</v>
      </c>
      <c r="E305" s="25">
        <f>E293/H295</f>
        <v>0</v>
      </c>
      <c r="G305" s="16" t="s">
        <v>92</v>
      </c>
      <c r="H305" s="25">
        <f>E294/H303</f>
        <v>2400000</v>
      </c>
      <c r="I305" s="19"/>
    </row>
    <row r="306">
      <c r="A306" s="61"/>
      <c r="D306" s="16" t="s">
        <v>94</v>
      </c>
      <c r="E306" s="25">
        <f>E293/I292</f>
        <v>0</v>
      </c>
      <c r="G306" s="16" t="s">
        <v>94</v>
      </c>
      <c r="H306" s="25">
        <f>E294/I292</f>
        <v>166666.6667</v>
      </c>
      <c r="I306" s="19"/>
    </row>
    <row r="307">
      <c r="A307" s="60"/>
      <c r="D307" s="16" t="s">
        <v>96</v>
      </c>
      <c r="E307" s="25">
        <f>E306/H295</f>
        <v>0</v>
      </c>
      <c r="G307" s="16" t="s">
        <v>96</v>
      </c>
      <c r="H307" s="25">
        <f>H306/H303</f>
        <v>400000</v>
      </c>
      <c r="I307" s="19"/>
    </row>
    <row r="308">
      <c r="A308" s="32"/>
      <c r="D308" s="16" t="s">
        <v>99</v>
      </c>
      <c r="E308" s="25">
        <f>E307/12</f>
        <v>0</v>
      </c>
      <c r="G308" s="16" t="s">
        <v>99</v>
      </c>
      <c r="H308" s="25">
        <f>H307/12</f>
        <v>33333.33333</v>
      </c>
      <c r="I308" s="19"/>
    </row>
    <row r="309">
      <c r="A309" s="42"/>
      <c r="D309" s="16" t="s">
        <v>101</v>
      </c>
      <c r="E309" s="25">
        <f>E308*5</f>
        <v>0</v>
      </c>
      <c r="G309" s="16" t="s">
        <v>101</v>
      </c>
      <c r="H309" s="25">
        <f>H308*5</f>
        <v>166666.6667</v>
      </c>
      <c r="I309" s="19"/>
    </row>
    <row r="310">
      <c r="A310" s="42"/>
      <c r="I310" s="19"/>
    </row>
    <row r="311">
      <c r="A311" s="42"/>
      <c r="D311" s="28" t="s">
        <v>124</v>
      </c>
      <c r="E311" s="41"/>
      <c r="F311" s="41"/>
      <c r="I311" s="19"/>
    </row>
    <row r="312">
      <c r="A312" s="42"/>
      <c r="D312" s="4" t="s">
        <v>126</v>
      </c>
      <c r="E312" s="25">
        <f t="shared" ref="E312:E314" si="49">H307-E307</f>
        <v>400000</v>
      </c>
      <c r="I312" s="19"/>
    </row>
    <row r="313">
      <c r="A313" s="42"/>
      <c r="D313" s="4" t="s">
        <v>128</v>
      </c>
      <c r="E313" s="25">
        <f t="shared" si="49"/>
        <v>33333.33333</v>
      </c>
      <c r="I313" s="19"/>
    </row>
    <row r="314">
      <c r="A314" s="32"/>
      <c r="D314" s="4" t="s">
        <v>129</v>
      </c>
      <c r="E314" s="25">
        <f t="shared" si="49"/>
        <v>166666.6667</v>
      </c>
      <c r="G314" s="43"/>
      <c r="I314" s="19"/>
    </row>
    <row r="315">
      <c r="A315" s="32"/>
      <c r="D315" s="28" t="s">
        <v>131</v>
      </c>
      <c r="I315" s="19"/>
    </row>
    <row r="316">
      <c r="A316" s="32"/>
      <c r="D316" s="4" t="s">
        <v>132</v>
      </c>
      <c r="E316" s="25">
        <f t="shared" ref="E316:E318" si="50">H307-E300</f>
        <v>363636.3636</v>
      </c>
      <c r="G316" s="28" t="s">
        <v>134</v>
      </c>
      <c r="I316" s="19"/>
    </row>
    <row r="317">
      <c r="A317" s="32"/>
      <c r="D317" s="4" t="s">
        <v>133</v>
      </c>
      <c r="E317" s="25">
        <f t="shared" si="50"/>
        <v>30303.0303</v>
      </c>
      <c r="G317" s="35" t="s">
        <v>137</v>
      </c>
      <c r="H317" s="25">
        <f>E302/H305</f>
        <v>0.006313131313</v>
      </c>
      <c r="I317" s="19"/>
    </row>
    <row r="318">
      <c r="A318" s="44"/>
      <c r="B318" s="45"/>
      <c r="C318" s="45"/>
      <c r="D318" s="47" t="s">
        <v>136</v>
      </c>
      <c r="E318" s="45">
        <f t="shared" si="50"/>
        <v>151515.1515</v>
      </c>
      <c r="F318" s="45"/>
      <c r="G318" s="48" t="s">
        <v>139</v>
      </c>
      <c r="H318" s="45">
        <f>H292-H317</f>
        <v>4.160353535</v>
      </c>
      <c r="I318" s="50"/>
    </row>
    <row r="320">
      <c r="A320" s="6" t="s">
        <v>70</v>
      </c>
      <c r="B320" s="34" t="s">
        <v>169</v>
      </c>
      <c r="C320" s="10"/>
      <c r="D320" s="9" t="s">
        <v>71</v>
      </c>
      <c r="E320" s="10"/>
      <c r="F320" s="10"/>
      <c r="G320" s="10"/>
      <c r="H320" s="10"/>
      <c r="I320" s="11"/>
    </row>
    <row r="321">
      <c r="A321" s="12" t="s">
        <v>72</v>
      </c>
      <c r="B321" s="13">
        <v>1000000.0</v>
      </c>
      <c r="D321" s="56" t="str">
        <f>B320</f>
        <v>Test Date</v>
      </c>
      <c r="E321" s="16" t="s">
        <v>73</v>
      </c>
      <c r="F321" s="17"/>
      <c r="G321" s="16" t="s">
        <v>74</v>
      </c>
      <c r="H321" s="16" t="s">
        <v>75</v>
      </c>
      <c r="I321" s="57" t="s">
        <v>76</v>
      </c>
    </row>
    <row r="322">
      <c r="A322" s="12" t="s">
        <v>78</v>
      </c>
      <c r="B322" s="13">
        <v>0.0</v>
      </c>
      <c r="D322" s="20" t="s">
        <v>72</v>
      </c>
      <c r="E322" s="21">
        <f t="shared" ref="E322:E323" si="51">B321</f>
        <v>1000000</v>
      </c>
      <c r="F322" s="20" t="s">
        <v>79</v>
      </c>
      <c r="G322" s="21">
        <f t="shared" ref="G322:G323" si="52">B324</f>
        <v>4</v>
      </c>
      <c r="H322" s="4">
        <f>G322+(G323/60)</f>
        <v>4.166666667</v>
      </c>
      <c r="I322" s="58">
        <f>B329</f>
        <v>6</v>
      </c>
    </row>
    <row r="323">
      <c r="A323" s="12" t="s">
        <v>81</v>
      </c>
      <c r="B323" s="14"/>
      <c r="D323" s="20" t="s">
        <v>78</v>
      </c>
      <c r="E323" s="21">
        <f t="shared" si="51"/>
        <v>0</v>
      </c>
      <c r="F323" s="20" t="s">
        <v>82</v>
      </c>
      <c r="G323" s="21">
        <f t="shared" si="52"/>
        <v>10</v>
      </c>
      <c r="I323" s="19"/>
    </row>
    <row r="324">
      <c r="A324" s="24" t="s">
        <v>79</v>
      </c>
      <c r="B324" s="13">
        <v>4.0</v>
      </c>
      <c r="D324" s="20" t="s">
        <v>84</v>
      </c>
      <c r="E324" s="25">
        <f>E322-E323</f>
        <v>1000000</v>
      </c>
      <c r="F324" s="26"/>
      <c r="G324" s="16" t="s">
        <v>85</v>
      </c>
      <c r="H324" s="16" t="s">
        <v>86</v>
      </c>
      <c r="I324" s="57" t="s">
        <v>87</v>
      </c>
    </row>
    <row r="325">
      <c r="A325" s="24" t="s">
        <v>89</v>
      </c>
      <c r="B325" s="13">
        <v>10.0</v>
      </c>
      <c r="D325" s="51"/>
      <c r="F325" s="20" t="s">
        <v>79</v>
      </c>
      <c r="G325" s="21">
        <f t="shared" ref="G325:G326" si="53">B327</f>
        <v>4</v>
      </c>
      <c r="H325" s="25">
        <f>G325+(G326/60)</f>
        <v>4.166666667</v>
      </c>
      <c r="I325" s="19">
        <f>H322-H325</f>
        <v>0</v>
      </c>
    </row>
    <row r="326">
      <c r="A326" s="12" t="s">
        <v>85</v>
      </c>
      <c r="B326" s="27"/>
      <c r="D326" s="51"/>
      <c r="F326" s="20" t="s">
        <v>82</v>
      </c>
      <c r="G326" s="21">
        <f t="shared" si="53"/>
        <v>10</v>
      </c>
      <c r="I326" s="19"/>
    </row>
    <row r="327">
      <c r="A327" s="24" t="s">
        <v>79</v>
      </c>
      <c r="B327" s="13">
        <v>4.0</v>
      </c>
      <c r="D327" s="16" t="s">
        <v>170</v>
      </c>
      <c r="I327" s="19"/>
    </row>
    <row r="328">
      <c r="A328" s="24" t="s">
        <v>89</v>
      </c>
      <c r="B328" s="13">
        <v>10.0</v>
      </c>
      <c r="D328" s="16" t="s">
        <v>92</v>
      </c>
      <c r="E328" s="25">
        <f>E322/H332</f>
        <v>218181.8182</v>
      </c>
      <c r="I328" s="19"/>
    </row>
    <row r="329">
      <c r="A329" s="12" t="s">
        <v>98</v>
      </c>
      <c r="B329" s="13">
        <v>6.0</v>
      </c>
      <c r="D329" s="16" t="s">
        <v>94</v>
      </c>
      <c r="E329" s="25">
        <f>E322/I322</f>
        <v>166666.6667</v>
      </c>
      <c r="I329" s="19"/>
    </row>
    <row r="330">
      <c r="A330" s="32"/>
      <c r="D330" s="16" t="s">
        <v>96</v>
      </c>
      <c r="E330" s="25">
        <f>E328/I322</f>
        <v>36363.63636</v>
      </c>
      <c r="F330" s="4"/>
      <c r="G330" s="4"/>
      <c r="H330" s="4"/>
      <c r="I330" s="59"/>
    </row>
    <row r="331">
      <c r="A331" s="60"/>
      <c r="D331" s="16" t="s">
        <v>99</v>
      </c>
      <c r="E331" s="25">
        <f>E330/12</f>
        <v>3030.30303</v>
      </c>
      <c r="F331" s="4" t="s">
        <v>171</v>
      </c>
      <c r="I331" s="59"/>
    </row>
    <row r="332">
      <c r="A332" s="61"/>
      <c r="D332" s="16" t="s">
        <v>101</v>
      </c>
      <c r="E332" s="25">
        <f>E331*5</f>
        <v>15151.51515</v>
      </c>
      <c r="F332" s="4" t="s">
        <v>171</v>
      </c>
      <c r="G332" s="35" t="s">
        <v>105</v>
      </c>
      <c r="H332" s="25">
        <f>H322+(25/60)</f>
        <v>4.583333333</v>
      </c>
      <c r="I332" s="19"/>
    </row>
    <row r="333">
      <c r="A333" s="61"/>
      <c r="D333" s="17"/>
      <c r="G333" s="35" t="s">
        <v>108</v>
      </c>
      <c r="H333" s="25">
        <f>I325+(25/60)</f>
        <v>0.4166666667</v>
      </c>
      <c r="I333" s="19"/>
    </row>
    <row r="334">
      <c r="A334" s="61"/>
      <c r="D334" s="16" t="s">
        <v>111</v>
      </c>
      <c r="G334" s="16" t="s">
        <v>112</v>
      </c>
      <c r="I334" s="19"/>
    </row>
    <row r="335">
      <c r="A335" s="61"/>
      <c r="D335" s="16" t="s">
        <v>92</v>
      </c>
      <c r="E335" s="25">
        <f>E323/H325</f>
        <v>0</v>
      </c>
      <c r="G335" s="16" t="s">
        <v>92</v>
      </c>
      <c r="H335" s="25">
        <f>E324/H333</f>
        <v>2400000</v>
      </c>
      <c r="I335" s="19"/>
    </row>
    <row r="336">
      <c r="A336" s="61"/>
      <c r="D336" s="16" t="s">
        <v>94</v>
      </c>
      <c r="E336" s="25">
        <f>E323/I322</f>
        <v>0</v>
      </c>
      <c r="G336" s="16" t="s">
        <v>94</v>
      </c>
      <c r="H336" s="25">
        <f>E324/I322</f>
        <v>166666.6667</v>
      </c>
      <c r="I336" s="19"/>
    </row>
    <row r="337">
      <c r="A337" s="60"/>
      <c r="D337" s="16" t="s">
        <v>96</v>
      </c>
      <c r="E337" s="25">
        <f>E336/H325</f>
        <v>0</v>
      </c>
      <c r="G337" s="16" t="s">
        <v>96</v>
      </c>
      <c r="H337" s="25">
        <f>H336/H333</f>
        <v>400000</v>
      </c>
      <c r="I337" s="19"/>
    </row>
    <row r="338">
      <c r="A338" s="32"/>
      <c r="D338" s="16" t="s">
        <v>99</v>
      </c>
      <c r="E338" s="25">
        <f>E337/12</f>
        <v>0</v>
      </c>
      <c r="G338" s="16" t="s">
        <v>99</v>
      </c>
      <c r="H338" s="25">
        <f>H337/12</f>
        <v>33333.33333</v>
      </c>
      <c r="I338" s="19"/>
    </row>
    <row r="339">
      <c r="A339" s="42"/>
      <c r="D339" s="16" t="s">
        <v>101</v>
      </c>
      <c r="E339" s="25">
        <f>E338*5</f>
        <v>0</v>
      </c>
      <c r="G339" s="16" t="s">
        <v>101</v>
      </c>
      <c r="H339" s="25">
        <f>H338*5</f>
        <v>166666.6667</v>
      </c>
      <c r="I339" s="19"/>
    </row>
    <row r="340">
      <c r="A340" s="42"/>
      <c r="I340" s="19"/>
    </row>
    <row r="341">
      <c r="A341" s="42"/>
      <c r="D341" s="28" t="s">
        <v>124</v>
      </c>
      <c r="E341" s="41"/>
      <c r="F341" s="41"/>
      <c r="I341" s="19"/>
    </row>
    <row r="342">
      <c r="A342" s="42"/>
      <c r="D342" s="4" t="s">
        <v>126</v>
      </c>
      <c r="E342" s="25">
        <f t="shared" ref="E342:E344" si="54">H337-E337</f>
        <v>400000</v>
      </c>
      <c r="I342" s="19"/>
    </row>
    <row r="343">
      <c r="A343" s="42"/>
      <c r="D343" s="4" t="s">
        <v>128</v>
      </c>
      <c r="E343" s="25">
        <f t="shared" si="54"/>
        <v>33333.33333</v>
      </c>
      <c r="I343" s="19"/>
    </row>
    <row r="344">
      <c r="A344" s="32"/>
      <c r="D344" s="4" t="s">
        <v>129</v>
      </c>
      <c r="E344" s="25">
        <f t="shared" si="54"/>
        <v>166666.6667</v>
      </c>
      <c r="G344" s="43"/>
      <c r="I344" s="19"/>
    </row>
    <row r="345">
      <c r="A345" s="32"/>
      <c r="D345" s="28" t="s">
        <v>131</v>
      </c>
      <c r="I345" s="19"/>
    </row>
    <row r="346">
      <c r="A346" s="32"/>
      <c r="D346" s="4" t="s">
        <v>132</v>
      </c>
      <c r="E346" s="25">
        <f t="shared" ref="E346:E348" si="55">H337-E330</f>
        <v>363636.3636</v>
      </c>
      <c r="G346" s="28" t="s">
        <v>134</v>
      </c>
      <c r="I346" s="19"/>
    </row>
    <row r="347">
      <c r="A347" s="32"/>
      <c r="D347" s="4" t="s">
        <v>133</v>
      </c>
      <c r="E347" s="25">
        <f t="shared" si="55"/>
        <v>30303.0303</v>
      </c>
      <c r="G347" s="35" t="s">
        <v>137</v>
      </c>
      <c r="H347" s="25">
        <f>E332/H335</f>
        <v>0.006313131313</v>
      </c>
      <c r="I347" s="19"/>
    </row>
    <row r="348">
      <c r="A348" s="44"/>
      <c r="B348" s="45"/>
      <c r="C348" s="45"/>
      <c r="D348" s="47" t="s">
        <v>136</v>
      </c>
      <c r="E348" s="45">
        <f t="shared" si="55"/>
        <v>151515.1515</v>
      </c>
      <c r="F348" s="45"/>
      <c r="G348" s="48" t="s">
        <v>139</v>
      </c>
      <c r="H348" s="45">
        <f>H322-H347</f>
        <v>4.160353535</v>
      </c>
      <c r="I348" s="50"/>
    </row>
    <row r="350">
      <c r="A350" s="6" t="s">
        <v>70</v>
      </c>
      <c r="B350" s="34" t="s">
        <v>169</v>
      </c>
      <c r="C350" s="10"/>
      <c r="D350" s="9" t="s">
        <v>71</v>
      </c>
      <c r="E350" s="10"/>
      <c r="F350" s="10"/>
      <c r="G350" s="10"/>
      <c r="H350" s="10"/>
      <c r="I350" s="11"/>
    </row>
    <row r="351">
      <c r="A351" s="12" t="s">
        <v>72</v>
      </c>
      <c r="B351" s="13">
        <v>1000000.0</v>
      </c>
      <c r="D351" s="56" t="str">
        <f>B350</f>
        <v>Test Date</v>
      </c>
      <c r="E351" s="16" t="s">
        <v>73</v>
      </c>
      <c r="F351" s="17"/>
      <c r="G351" s="16" t="s">
        <v>74</v>
      </c>
      <c r="H351" s="16" t="s">
        <v>75</v>
      </c>
      <c r="I351" s="57" t="s">
        <v>76</v>
      </c>
    </row>
    <row r="352">
      <c r="A352" s="12" t="s">
        <v>78</v>
      </c>
      <c r="B352" s="13">
        <v>0.0</v>
      </c>
      <c r="D352" s="20" t="s">
        <v>72</v>
      </c>
      <c r="E352" s="21">
        <f t="shared" ref="E352:E353" si="56">B351</f>
        <v>1000000</v>
      </c>
      <c r="F352" s="20" t="s">
        <v>79</v>
      </c>
      <c r="G352" s="21">
        <f t="shared" ref="G352:G353" si="57">B354</f>
        <v>4</v>
      </c>
      <c r="H352" s="4">
        <f>G352+(G353/60)</f>
        <v>4.166666667</v>
      </c>
      <c r="I352" s="58">
        <f>B359</f>
        <v>6</v>
      </c>
    </row>
    <row r="353">
      <c r="A353" s="12" t="s">
        <v>81</v>
      </c>
      <c r="B353" s="14"/>
      <c r="D353" s="20" t="s">
        <v>78</v>
      </c>
      <c r="E353" s="21">
        <f t="shared" si="56"/>
        <v>0</v>
      </c>
      <c r="F353" s="20" t="s">
        <v>82</v>
      </c>
      <c r="G353" s="21">
        <f t="shared" si="57"/>
        <v>10</v>
      </c>
      <c r="I353" s="19"/>
    </row>
    <row r="354">
      <c r="A354" s="24" t="s">
        <v>79</v>
      </c>
      <c r="B354" s="13">
        <v>4.0</v>
      </c>
      <c r="D354" s="20" t="s">
        <v>84</v>
      </c>
      <c r="E354" s="25">
        <f>E352-E353</f>
        <v>1000000</v>
      </c>
      <c r="F354" s="26"/>
      <c r="G354" s="16" t="s">
        <v>85</v>
      </c>
      <c r="H354" s="16" t="s">
        <v>86</v>
      </c>
      <c r="I354" s="57" t="s">
        <v>87</v>
      </c>
    </row>
    <row r="355">
      <c r="A355" s="24" t="s">
        <v>89</v>
      </c>
      <c r="B355" s="13">
        <v>10.0</v>
      </c>
      <c r="D355" s="51"/>
      <c r="F355" s="20" t="s">
        <v>79</v>
      </c>
      <c r="G355" s="21">
        <f t="shared" ref="G355:G356" si="58">B357</f>
        <v>4</v>
      </c>
      <c r="H355" s="25">
        <f>G355+(G356/60)</f>
        <v>4.166666667</v>
      </c>
      <c r="I355" s="19">
        <f>H352-H355</f>
        <v>0</v>
      </c>
    </row>
    <row r="356">
      <c r="A356" s="12" t="s">
        <v>85</v>
      </c>
      <c r="B356" s="27"/>
      <c r="D356" s="51"/>
      <c r="F356" s="20" t="s">
        <v>82</v>
      </c>
      <c r="G356" s="21">
        <f t="shared" si="58"/>
        <v>10</v>
      </c>
      <c r="I356" s="19"/>
    </row>
    <row r="357">
      <c r="A357" s="24" t="s">
        <v>79</v>
      </c>
      <c r="B357" s="13">
        <v>4.0</v>
      </c>
      <c r="D357" s="16" t="s">
        <v>170</v>
      </c>
      <c r="I357" s="19"/>
    </row>
    <row r="358">
      <c r="A358" s="24" t="s">
        <v>89</v>
      </c>
      <c r="B358" s="13">
        <v>10.0</v>
      </c>
      <c r="D358" s="16" t="s">
        <v>92</v>
      </c>
      <c r="E358" s="25">
        <f>E352/H362</f>
        <v>218181.8182</v>
      </c>
      <c r="I358" s="19"/>
    </row>
    <row r="359">
      <c r="A359" s="12" t="s">
        <v>98</v>
      </c>
      <c r="B359" s="13">
        <v>6.0</v>
      </c>
      <c r="D359" s="16" t="s">
        <v>94</v>
      </c>
      <c r="E359" s="25">
        <f>E352/I352</f>
        <v>166666.6667</v>
      </c>
      <c r="I359" s="19"/>
    </row>
    <row r="360">
      <c r="A360" s="32"/>
      <c r="D360" s="16" t="s">
        <v>96</v>
      </c>
      <c r="E360" s="25">
        <f>E358/I352</f>
        <v>36363.63636</v>
      </c>
      <c r="F360" s="4"/>
      <c r="G360" s="4"/>
      <c r="H360" s="4"/>
      <c r="I360" s="59"/>
    </row>
    <row r="361">
      <c r="A361" s="60"/>
      <c r="D361" s="16" t="s">
        <v>99</v>
      </c>
      <c r="E361" s="25">
        <f>E360/12</f>
        <v>3030.30303</v>
      </c>
      <c r="F361" s="4" t="s">
        <v>171</v>
      </c>
      <c r="I361" s="59"/>
    </row>
    <row r="362">
      <c r="A362" s="61"/>
      <c r="D362" s="16" t="s">
        <v>101</v>
      </c>
      <c r="E362" s="25">
        <f>E361*5</f>
        <v>15151.51515</v>
      </c>
      <c r="F362" s="4" t="s">
        <v>171</v>
      </c>
      <c r="G362" s="35" t="s">
        <v>105</v>
      </c>
      <c r="H362" s="25">
        <f>H352+(25/60)</f>
        <v>4.583333333</v>
      </c>
      <c r="I362" s="19"/>
    </row>
    <row r="363">
      <c r="A363" s="61"/>
      <c r="D363" s="17"/>
      <c r="G363" s="35" t="s">
        <v>108</v>
      </c>
      <c r="H363" s="25">
        <f>I355+(25/60)</f>
        <v>0.4166666667</v>
      </c>
      <c r="I363" s="19"/>
    </row>
    <row r="364">
      <c r="A364" s="61"/>
      <c r="D364" s="16" t="s">
        <v>111</v>
      </c>
      <c r="G364" s="16" t="s">
        <v>112</v>
      </c>
      <c r="I364" s="19"/>
    </row>
    <row r="365">
      <c r="A365" s="61"/>
      <c r="D365" s="16" t="s">
        <v>92</v>
      </c>
      <c r="E365" s="25">
        <f>E353/H355</f>
        <v>0</v>
      </c>
      <c r="G365" s="16" t="s">
        <v>92</v>
      </c>
      <c r="H365" s="25">
        <f>E354/H363</f>
        <v>2400000</v>
      </c>
      <c r="I365" s="19"/>
    </row>
    <row r="366">
      <c r="A366" s="61"/>
      <c r="D366" s="16" t="s">
        <v>94</v>
      </c>
      <c r="E366" s="25">
        <f>E353/I352</f>
        <v>0</v>
      </c>
      <c r="G366" s="16" t="s">
        <v>94</v>
      </c>
      <c r="H366" s="25">
        <f>E354/I352</f>
        <v>166666.6667</v>
      </c>
      <c r="I366" s="19"/>
    </row>
    <row r="367">
      <c r="A367" s="60"/>
      <c r="D367" s="16" t="s">
        <v>96</v>
      </c>
      <c r="E367" s="25">
        <f>E366/H355</f>
        <v>0</v>
      </c>
      <c r="G367" s="16" t="s">
        <v>96</v>
      </c>
      <c r="H367" s="25">
        <f>H366/H363</f>
        <v>400000</v>
      </c>
      <c r="I367" s="19"/>
    </row>
    <row r="368">
      <c r="A368" s="32"/>
      <c r="D368" s="16" t="s">
        <v>99</v>
      </c>
      <c r="E368" s="25">
        <f>E367/12</f>
        <v>0</v>
      </c>
      <c r="G368" s="16" t="s">
        <v>99</v>
      </c>
      <c r="H368" s="25">
        <f>H367/12</f>
        <v>33333.33333</v>
      </c>
      <c r="I368" s="19"/>
    </row>
    <row r="369">
      <c r="A369" s="42"/>
      <c r="D369" s="16" t="s">
        <v>101</v>
      </c>
      <c r="E369" s="25">
        <f>E368*5</f>
        <v>0</v>
      </c>
      <c r="G369" s="16" t="s">
        <v>101</v>
      </c>
      <c r="H369" s="25">
        <f>H368*5</f>
        <v>166666.6667</v>
      </c>
      <c r="I369" s="19"/>
    </row>
    <row r="370">
      <c r="A370" s="42"/>
      <c r="I370" s="19"/>
    </row>
    <row r="371">
      <c r="A371" s="42"/>
      <c r="D371" s="28" t="s">
        <v>124</v>
      </c>
      <c r="E371" s="41"/>
      <c r="F371" s="41"/>
      <c r="I371" s="19"/>
    </row>
    <row r="372">
      <c r="A372" s="42"/>
      <c r="D372" s="4" t="s">
        <v>126</v>
      </c>
      <c r="E372" s="25">
        <f t="shared" ref="E372:E374" si="59">H367-E367</f>
        <v>400000</v>
      </c>
      <c r="I372" s="19"/>
    </row>
    <row r="373">
      <c r="A373" s="42"/>
      <c r="D373" s="4" t="s">
        <v>128</v>
      </c>
      <c r="E373" s="25">
        <f t="shared" si="59"/>
        <v>33333.33333</v>
      </c>
      <c r="I373" s="19"/>
    </row>
    <row r="374">
      <c r="A374" s="32"/>
      <c r="D374" s="4" t="s">
        <v>129</v>
      </c>
      <c r="E374" s="25">
        <f t="shared" si="59"/>
        <v>166666.6667</v>
      </c>
      <c r="G374" s="43"/>
      <c r="I374" s="19"/>
    </row>
    <row r="375">
      <c r="A375" s="32"/>
      <c r="D375" s="28" t="s">
        <v>131</v>
      </c>
      <c r="I375" s="19"/>
    </row>
    <row r="376">
      <c r="A376" s="32"/>
      <c r="D376" s="4" t="s">
        <v>132</v>
      </c>
      <c r="E376" s="25">
        <f t="shared" ref="E376:E378" si="60">H367-E360</f>
        <v>363636.3636</v>
      </c>
      <c r="G376" s="28" t="s">
        <v>134</v>
      </c>
      <c r="I376" s="19"/>
    </row>
    <row r="377">
      <c r="A377" s="32"/>
      <c r="D377" s="4" t="s">
        <v>133</v>
      </c>
      <c r="E377" s="25">
        <f t="shared" si="60"/>
        <v>30303.0303</v>
      </c>
      <c r="G377" s="35" t="s">
        <v>137</v>
      </c>
      <c r="H377" s="25">
        <f>E362/H365</f>
        <v>0.006313131313</v>
      </c>
      <c r="I377" s="19"/>
    </row>
    <row r="378">
      <c r="A378" s="44"/>
      <c r="B378" s="45"/>
      <c r="C378" s="45"/>
      <c r="D378" s="47" t="s">
        <v>136</v>
      </c>
      <c r="E378" s="45">
        <f t="shared" si="60"/>
        <v>151515.1515</v>
      </c>
      <c r="F378" s="45"/>
      <c r="G378" s="48" t="s">
        <v>139</v>
      </c>
      <c r="H378" s="45">
        <f>H352-H377</f>
        <v>4.160353535</v>
      </c>
      <c r="I378" s="50"/>
    </row>
    <row r="380">
      <c r="A380" s="6" t="s">
        <v>70</v>
      </c>
      <c r="B380" s="34" t="s">
        <v>169</v>
      </c>
      <c r="C380" s="10"/>
      <c r="D380" s="9" t="s">
        <v>71</v>
      </c>
      <c r="E380" s="10"/>
      <c r="F380" s="10"/>
      <c r="G380" s="10"/>
      <c r="H380" s="10"/>
      <c r="I380" s="11"/>
    </row>
    <row r="381">
      <c r="A381" s="12" t="s">
        <v>72</v>
      </c>
      <c r="B381" s="13">
        <v>1000000.0</v>
      </c>
      <c r="D381" s="56" t="str">
        <f>B380</f>
        <v>Test Date</v>
      </c>
      <c r="E381" s="16" t="s">
        <v>73</v>
      </c>
      <c r="F381" s="17"/>
      <c r="G381" s="16" t="s">
        <v>74</v>
      </c>
      <c r="H381" s="16" t="s">
        <v>75</v>
      </c>
      <c r="I381" s="57" t="s">
        <v>76</v>
      </c>
    </row>
    <row r="382">
      <c r="A382" s="12" t="s">
        <v>78</v>
      </c>
      <c r="B382" s="13">
        <v>0.0</v>
      </c>
      <c r="D382" s="20" t="s">
        <v>72</v>
      </c>
      <c r="E382" s="21">
        <f t="shared" ref="E382:E383" si="61">B381</f>
        <v>1000000</v>
      </c>
      <c r="F382" s="20" t="s">
        <v>79</v>
      </c>
      <c r="G382" s="21">
        <f t="shared" ref="G382:G383" si="62">B384</f>
        <v>4</v>
      </c>
      <c r="H382" s="4">
        <f>G382+(G383/60)</f>
        <v>4.166666667</v>
      </c>
      <c r="I382" s="58">
        <f>B389</f>
        <v>6</v>
      </c>
    </row>
    <row r="383">
      <c r="A383" s="12" t="s">
        <v>81</v>
      </c>
      <c r="B383" s="14"/>
      <c r="D383" s="20" t="s">
        <v>78</v>
      </c>
      <c r="E383" s="21">
        <f t="shared" si="61"/>
        <v>0</v>
      </c>
      <c r="F383" s="20" t="s">
        <v>82</v>
      </c>
      <c r="G383" s="21">
        <f t="shared" si="62"/>
        <v>10</v>
      </c>
      <c r="I383" s="19"/>
    </row>
    <row r="384">
      <c r="A384" s="24" t="s">
        <v>79</v>
      </c>
      <c r="B384" s="13">
        <v>4.0</v>
      </c>
      <c r="D384" s="20" t="s">
        <v>84</v>
      </c>
      <c r="E384" s="25">
        <f>E382-E383</f>
        <v>1000000</v>
      </c>
      <c r="F384" s="26"/>
      <c r="G384" s="16" t="s">
        <v>85</v>
      </c>
      <c r="H384" s="16" t="s">
        <v>86</v>
      </c>
      <c r="I384" s="57" t="s">
        <v>87</v>
      </c>
    </row>
    <row r="385">
      <c r="A385" s="24" t="s">
        <v>89</v>
      </c>
      <c r="B385" s="13">
        <v>10.0</v>
      </c>
      <c r="D385" s="51"/>
      <c r="F385" s="20" t="s">
        <v>79</v>
      </c>
      <c r="G385" s="21">
        <f t="shared" ref="G385:G386" si="63">B387</f>
        <v>4</v>
      </c>
      <c r="H385" s="25">
        <f>G385+(G386/60)</f>
        <v>4.166666667</v>
      </c>
      <c r="I385" s="19">
        <f>H382-H385</f>
        <v>0</v>
      </c>
    </row>
    <row r="386">
      <c r="A386" s="12" t="s">
        <v>85</v>
      </c>
      <c r="B386" s="27"/>
      <c r="D386" s="51"/>
      <c r="F386" s="20" t="s">
        <v>82</v>
      </c>
      <c r="G386" s="21">
        <f t="shared" si="63"/>
        <v>10</v>
      </c>
      <c r="I386" s="19"/>
    </row>
    <row r="387">
      <c r="A387" s="24" t="s">
        <v>79</v>
      </c>
      <c r="B387" s="13">
        <v>4.0</v>
      </c>
      <c r="D387" s="16" t="s">
        <v>170</v>
      </c>
      <c r="I387" s="19"/>
    </row>
    <row r="388">
      <c r="A388" s="24" t="s">
        <v>89</v>
      </c>
      <c r="B388" s="13">
        <v>10.0</v>
      </c>
      <c r="D388" s="16" t="s">
        <v>92</v>
      </c>
      <c r="E388" s="25">
        <f>E382/H392</f>
        <v>218181.8182</v>
      </c>
      <c r="I388" s="19"/>
    </row>
    <row r="389">
      <c r="A389" s="12" t="s">
        <v>98</v>
      </c>
      <c r="B389" s="13">
        <v>6.0</v>
      </c>
      <c r="D389" s="16" t="s">
        <v>94</v>
      </c>
      <c r="E389" s="25">
        <f>E382/I382</f>
        <v>166666.6667</v>
      </c>
      <c r="I389" s="19"/>
    </row>
    <row r="390">
      <c r="A390" s="32"/>
      <c r="D390" s="16" t="s">
        <v>96</v>
      </c>
      <c r="E390" s="25">
        <f>E388/I382</f>
        <v>36363.63636</v>
      </c>
      <c r="F390" s="4"/>
      <c r="G390" s="4"/>
      <c r="H390" s="4"/>
      <c r="I390" s="59"/>
    </row>
    <row r="391">
      <c r="A391" s="60"/>
      <c r="D391" s="16" t="s">
        <v>99</v>
      </c>
      <c r="E391" s="25">
        <f>E390/12</f>
        <v>3030.30303</v>
      </c>
      <c r="F391" s="4" t="s">
        <v>171</v>
      </c>
      <c r="I391" s="59"/>
    </row>
    <row r="392">
      <c r="A392" s="61"/>
      <c r="D392" s="16" t="s">
        <v>101</v>
      </c>
      <c r="E392" s="25">
        <f>E391*5</f>
        <v>15151.51515</v>
      </c>
      <c r="F392" s="4" t="s">
        <v>171</v>
      </c>
      <c r="G392" s="35" t="s">
        <v>105</v>
      </c>
      <c r="H392" s="25">
        <f>H382+(25/60)</f>
        <v>4.583333333</v>
      </c>
      <c r="I392" s="19"/>
    </row>
    <row r="393">
      <c r="A393" s="61"/>
      <c r="D393" s="17"/>
      <c r="G393" s="35" t="s">
        <v>108</v>
      </c>
      <c r="H393" s="25">
        <f>I385+(25/60)</f>
        <v>0.4166666667</v>
      </c>
      <c r="I393" s="19"/>
    </row>
    <row r="394">
      <c r="A394" s="61"/>
      <c r="D394" s="16" t="s">
        <v>111</v>
      </c>
      <c r="G394" s="16" t="s">
        <v>112</v>
      </c>
      <c r="I394" s="19"/>
    </row>
    <row r="395">
      <c r="A395" s="61"/>
      <c r="D395" s="16" t="s">
        <v>92</v>
      </c>
      <c r="E395" s="25">
        <f>E383/H385</f>
        <v>0</v>
      </c>
      <c r="G395" s="16" t="s">
        <v>92</v>
      </c>
      <c r="H395" s="25">
        <f>E384/H393</f>
        <v>2400000</v>
      </c>
      <c r="I395" s="19"/>
    </row>
    <row r="396">
      <c r="A396" s="61"/>
      <c r="D396" s="16" t="s">
        <v>94</v>
      </c>
      <c r="E396" s="25">
        <f>E383/I382</f>
        <v>0</v>
      </c>
      <c r="G396" s="16" t="s">
        <v>94</v>
      </c>
      <c r="H396" s="25">
        <f>E384/I382</f>
        <v>166666.6667</v>
      </c>
      <c r="I396" s="19"/>
    </row>
    <row r="397">
      <c r="A397" s="60"/>
      <c r="D397" s="16" t="s">
        <v>96</v>
      </c>
      <c r="E397" s="25">
        <f>E396/H385</f>
        <v>0</v>
      </c>
      <c r="G397" s="16" t="s">
        <v>96</v>
      </c>
      <c r="H397" s="25">
        <f>H396/H393</f>
        <v>400000</v>
      </c>
      <c r="I397" s="19"/>
    </row>
    <row r="398">
      <c r="A398" s="32"/>
      <c r="D398" s="16" t="s">
        <v>99</v>
      </c>
      <c r="E398" s="25">
        <f>E397/12</f>
        <v>0</v>
      </c>
      <c r="G398" s="16" t="s">
        <v>99</v>
      </c>
      <c r="H398" s="25">
        <f>H397/12</f>
        <v>33333.33333</v>
      </c>
      <c r="I398" s="19"/>
    </row>
    <row r="399">
      <c r="A399" s="42"/>
      <c r="D399" s="16" t="s">
        <v>101</v>
      </c>
      <c r="E399" s="25">
        <f>E398*5</f>
        <v>0</v>
      </c>
      <c r="G399" s="16" t="s">
        <v>101</v>
      </c>
      <c r="H399" s="25">
        <f>H398*5</f>
        <v>166666.6667</v>
      </c>
      <c r="I399" s="19"/>
    </row>
    <row r="400">
      <c r="A400" s="42"/>
      <c r="I400" s="19"/>
    </row>
    <row r="401">
      <c r="A401" s="42"/>
      <c r="D401" s="28" t="s">
        <v>124</v>
      </c>
      <c r="E401" s="41"/>
      <c r="F401" s="41"/>
      <c r="I401" s="19"/>
    </row>
    <row r="402">
      <c r="A402" s="42"/>
      <c r="D402" s="4" t="s">
        <v>126</v>
      </c>
      <c r="E402" s="25">
        <f t="shared" ref="E402:E404" si="64">H397-E397</f>
        <v>400000</v>
      </c>
      <c r="I402" s="19"/>
    </row>
    <row r="403">
      <c r="A403" s="42"/>
      <c r="D403" s="4" t="s">
        <v>128</v>
      </c>
      <c r="E403" s="25">
        <f t="shared" si="64"/>
        <v>33333.33333</v>
      </c>
      <c r="I403" s="19"/>
    </row>
    <row r="404">
      <c r="A404" s="32"/>
      <c r="D404" s="4" t="s">
        <v>129</v>
      </c>
      <c r="E404" s="25">
        <f t="shared" si="64"/>
        <v>166666.6667</v>
      </c>
      <c r="G404" s="43"/>
      <c r="I404" s="19"/>
    </row>
    <row r="405">
      <c r="A405" s="32"/>
      <c r="D405" s="28" t="s">
        <v>131</v>
      </c>
      <c r="I405" s="19"/>
    </row>
    <row r="406">
      <c r="A406" s="32"/>
      <c r="D406" s="4" t="s">
        <v>132</v>
      </c>
      <c r="E406" s="25">
        <f t="shared" ref="E406:E408" si="65">H397-E390</f>
        <v>363636.3636</v>
      </c>
      <c r="G406" s="28" t="s">
        <v>134</v>
      </c>
      <c r="I406" s="19"/>
    </row>
    <row r="407">
      <c r="A407" s="32"/>
      <c r="D407" s="4" t="s">
        <v>133</v>
      </c>
      <c r="E407" s="25">
        <f t="shared" si="65"/>
        <v>30303.0303</v>
      </c>
      <c r="G407" s="35" t="s">
        <v>137</v>
      </c>
      <c r="H407" s="25">
        <f>E392/H395</f>
        <v>0.006313131313</v>
      </c>
      <c r="I407" s="19"/>
    </row>
    <row r="408">
      <c r="A408" s="44"/>
      <c r="B408" s="45"/>
      <c r="C408" s="45"/>
      <c r="D408" s="47" t="s">
        <v>136</v>
      </c>
      <c r="E408" s="45">
        <f t="shared" si="65"/>
        <v>151515.1515</v>
      </c>
      <c r="F408" s="45"/>
      <c r="G408" s="48" t="s">
        <v>139</v>
      </c>
      <c r="H408" s="45">
        <f>H382-H407</f>
        <v>4.160353535</v>
      </c>
      <c r="I408" s="50"/>
    </row>
    <row r="410">
      <c r="A410" s="6" t="s">
        <v>70</v>
      </c>
      <c r="B410" s="34" t="s">
        <v>169</v>
      </c>
      <c r="C410" s="10"/>
      <c r="D410" s="9" t="s">
        <v>71</v>
      </c>
      <c r="E410" s="10"/>
      <c r="F410" s="10"/>
      <c r="G410" s="10"/>
      <c r="H410" s="10"/>
      <c r="I410" s="11"/>
    </row>
    <row r="411">
      <c r="A411" s="12" t="s">
        <v>72</v>
      </c>
      <c r="B411" s="13">
        <v>1000000.0</v>
      </c>
      <c r="D411" s="56" t="str">
        <f>B410</f>
        <v>Test Date</v>
      </c>
      <c r="E411" s="16" t="s">
        <v>73</v>
      </c>
      <c r="F411" s="17"/>
      <c r="G411" s="16" t="s">
        <v>74</v>
      </c>
      <c r="H411" s="16" t="s">
        <v>75</v>
      </c>
      <c r="I411" s="57" t="s">
        <v>76</v>
      </c>
    </row>
    <row r="412">
      <c r="A412" s="12" t="s">
        <v>78</v>
      </c>
      <c r="B412" s="13">
        <v>0.0</v>
      </c>
      <c r="D412" s="20" t="s">
        <v>72</v>
      </c>
      <c r="E412" s="21">
        <f t="shared" ref="E412:E413" si="66">B411</f>
        <v>1000000</v>
      </c>
      <c r="F412" s="20" t="s">
        <v>79</v>
      </c>
      <c r="G412" s="21">
        <f t="shared" ref="G412:G413" si="67">B414</f>
        <v>4</v>
      </c>
      <c r="H412" s="4">
        <f>G412+(G413/60)</f>
        <v>4.166666667</v>
      </c>
      <c r="I412" s="58">
        <f>B419</f>
        <v>6</v>
      </c>
    </row>
    <row r="413">
      <c r="A413" s="12" t="s">
        <v>81</v>
      </c>
      <c r="B413" s="14"/>
      <c r="D413" s="20" t="s">
        <v>78</v>
      </c>
      <c r="E413" s="21">
        <f t="shared" si="66"/>
        <v>0</v>
      </c>
      <c r="F413" s="20" t="s">
        <v>82</v>
      </c>
      <c r="G413" s="21">
        <f t="shared" si="67"/>
        <v>10</v>
      </c>
      <c r="I413" s="19"/>
    </row>
    <row r="414">
      <c r="A414" s="24" t="s">
        <v>79</v>
      </c>
      <c r="B414" s="13">
        <v>4.0</v>
      </c>
      <c r="D414" s="20" t="s">
        <v>84</v>
      </c>
      <c r="E414" s="25">
        <f>E412-E413</f>
        <v>1000000</v>
      </c>
      <c r="F414" s="26"/>
      <c r="G414" s="16" t="s">
        <v>85</v>
      </c>
      <c r="H414" s="16" t="s">
        <v>86</v>
      </c>
      <c r="I414" s="57" t="s">
        <v>87</v>
      </c>
    </row>
    <row r="415">
      <c r="A415" s="24" t="s">
        <v>89</v>
      </c>
      <c r="B415" s="13">
        <v>10.0</v>
      </c>
      <c r="D415" s="51"/>
      <c r="F415" s="20" t="s">
        <v>79</v>
      </c>
      <c r="G415" s="21">
        <f t="shared" ref="G415:G416" si="68">B417</f>
        <v>4</v>
      </c>
      <c r="H415" s="25">
        <f>G415+(G416/60)</f>
        <v>4.166666667</v>
      </c>
      <c r="I415" s="19">
        <f>H412-H415</f>
        <v>0</v>
      </c>
    </row>
    <row r="416">
      <c r="A416" s="12" t="s">
        <v>85</v>
      </c>
      <c r="B416" s="27"/>
      <c r="D416" s="51"/>
      <c r="F416" s="20" t="s">
        <v>82</v>
      </c>
      <c r="G416" s="21">
        <f t="shared" si="68"/>
        <v>10</v>
      </c>
      <c r="I416" s="19"/>
    </row>
    <row r="417">
      <c r="A417" s="24" t="s">
        <v>79</v>
      </c>
      <c r="B417" s="13">
        <v>4.0</v>
      </c>
      <c r="D417" s="16" t="s">
        <v>170</v>
      </c>
      <c r="I417" s="19"/>
    </row>
    <row r="418">
      <c r="A418" s="24" t="s">
        <v>89</v>
      </c>
      <c r="B418" s="13">
        <v>10.0</v>
      </c>
      <c r="D418" s="16" t="s">
        <v>92</v>
      </c>
      <c r="E418" s="25">
        <f>E412/H422</f>
        <v>218181.8182</v>
      </c>
      <c r="I418" s="19"/>
    </row>
    <row r="419">
      <c r="A419" s="12" t="s">
        <v>98</v>
      </c>
      <c r="B419" s="13">
        <v>6.0</v>
      </c>
      <c r="D419" s="16" t="s">
        <v>94</v>
      </c>
      <c r="E419" s="25">
        <f>E412/I412</f>
        <v>166666.6667</v>
      </c>
      <c r="I419" s="19"/>
    </row>
    <row r="420">
      <c r="A420" s="32"/>
      <c r="D420" s="16" t="s">
        <v>96</v>
      </c>
      <c r="E420" s="25">
        <f>E418/I412</f>
        <v>36363.63636</v>
      </c>
      <c r="F420" s="4"/>
      <c r="G420" s="4"/>
      <c r="H420" s="4"/>
      <c r="I420" s="59"/>
    </row>
    <row r="421">
      <c r="A421" s="60"/>
      <c r="D421" s="16" t="s">
        <v>99</v>
      </c>
      <c r="E421" s="25">
        <f>E420/12</f>
        <v>3030.30303</v>
      </c>
      <c r="F421" s="4" t="s">
        <v>171</v>
      </c>
      <c r="I421" s="59"/>
    </row>
    <row r="422">
      <c r="A422" s="61"/>
      <c r="D422" s="16" t="s">
        <v>101</v>
      </c>
      <c r="E422" s="25">
        <f>E421*5</f>
        <v>15151.51515</v>
      </c>
      <c r="F422" s="4" t="s">
        <v>171</v>
      </c>
      <c r="G422" s="35" t="s">
        <v>105</v>
      </c>
      <c r="H422" s="25">
        <f>H412+(25/60)</f>
        <v>4.583333333</v>
      </c>
      <c r="I422" s="19"/>
    </row>
    <row r="423">
      <c r="A423" s="61"/>
      <c r="D423" s="17"/>
      <c r="G423" s="35" t="s">
        <v>108</v>
      </c>
      <c r="H423" s="25">
        <f>I415+(25/60)</f>
        <v>0.4166666667</v>
      </c>
      <c r="I423" s="19"/>
    </row>
    <row r="424">
      <c r="A424" s="61"/>
      <c r="D424" s="16" t="s">
        <v>111</v>
      </c>
      <c r="G424" s="16" t="s">
        <v>112</v>
      </c>
      <c r="I424" s="19"/>
    </row>
    <row r="425">
      <c r="A425" s="61"/>
      <c r="D425" s="16" t="s">
        <v>92</v>
      </c>
      <c r="E425" s="25">
        <f>E413/H415</f>
        <v>0</v>
      </c>
      <c r="G425" s="16" t="s">
        <v>92</v>
      </c>
      <c r="H425" s="25">
        <f>E414/H423</f>
        <v>2400000</v>
      </c>
      <c r="I425" s="19"/>
    </row>
    <row r="426">
      <c r="A426" s="61"/>
      <c r="D426" s="16" t="s">
        <v>94</v>
      </c>
      <c r="E426" s="25">
        <f>E413/I412</f>
        <v>0</v>
      </c>
      <c r="G426" s="16" t="s">
        <v>94</v>
      </c>
      <c r="H426" s="25">
        <f>E414/I412</f>
        <v>166666.6667</v>
      </c>
      <c r="I426" s="19"/>
    </row>
    <row r="427">
      <c r="A427" s="60"/>
      <c r="D427" s="16" t="s">
        <v>96</v>
      </c>
      <c r="E427" s="25">
        <f>E426/H415</f>
        <v>0</v>
      </c>
      <c r="G427" s="16" t="s">
        <v>96</v>
      </c>
      <c r="H427" s="25">
        <f>H426/H423</f>
        <v>400000</v>
      </c>
      <c r="I427" s="19"/>
    </row>
    <row r="428">
      <c r="A428" s="32"/>
      <c r="D428" s="16" t="s">
        <v>99</v>
      </c>
      <c r="E428" s="25">
        <f>E427/12</f>
        <v>0</v>
      </c>
      <c r="G428" s="16" t="s">
        <v>99</v>
      </c>
      <c r="H428" s="25">
        <f>H427/12</f>
        <v>33333.33333</v>
      </c>
      <c r="I428" s="19"/>
    </row>
    <row r="429">
      <c r="A429" s="42"/>
      <c r="D429" s="16" t="s">
        <v>101</v>
      </c>
      <c r="E429" s="25">
        <f>E428*5</f>
        <v>0</v>
      </c>
      <c r="G429" s="16" t="s">
        <v>101</v>
      </c>
      <c r="H429" s="25">
        <f>H428*5</f>
        <v>166666.6667</v>
      </c>
      <c r="I429" s="19"/>
    </row>
    <row r="430">
      <c r="A430" s="42"/>
      <c r="I430" s="19"/>
    </row>
    <row r="431">
      <c r="A431" s="42"/>
      <c r="D431" s="28" t="s">
        <v>124</v>
      </c>
      <c r="E431" s="41"/>
      <c r="F431" s="41"/>
      <c r="I431" s="19"/>
    </row>
    <row r="432">
      <c r="A432" s="42"/>
      <c r="D432" s="4" t="s">
        <v>126</v>
      </c>
      <c r="E432" s="25">
        <f t="shared" ref="E432:E434" si="69">H427-E427</f>
        <v>400000</v>
      </c>
      <c r="I432" s="19"/>
    </row>
    <row r="433">
      <c r="A433" s="42"/>
      <c r="D433" s="4" t="s">
        <v>128</v>
      </c>
      <c r="E433" s="25">
        <f t="shared" si="69"/>
        <v>33333.33333</v>
      </c>
      <c r="I433" s="19"/>
    </row>
    <row r="434">
      <c r="A434" s="32"/>
      <c r="D434" s="4" t="s">
        <v>129</v>
      </c>
      <c r="E434" s="25">
        <f t="shared" si="69"/>
        <v>166666.6667</v>
      </c>
      <c r="G434" s="43"/>
      <c r="I434" s="19"/>
    </row>
    <row r="435">
      <c r="A435" s="32"/>
      <c r="D435" s="28" t="s">
        <v>131</v>
      </c>
      <c r="I435" s="19"/>
    </row>
    <row r="436">
      <c r="A436" s="32"/>
      <c r="D436" s="4" t="s">
        <v>132</v>
      </c>
      <c r="E436" s="25">
        <f t="shared" ref="E436:E438" si="70">H427-E420</f>
        <v>363636.3636</v>
      </c>
      <c r="G436" s="28" t="s">
        <v>134</v>
      </c>
      <c r="I436" s="19"/>
    </row>
    <row r="437">
      <c r="A437" s="32"/>
      <c r="D437" s="4" t="s">
        <v>133</v>
      </c>
      <c r="E437" s="25">
        <f t="shared" si="70"/>
        <v>30303.0303</v>
      </c>
      <c r="G437" s="35" t="s">
        <v>137</v>
      </c>
      <c r="H437" s="25">
        <f>E422/H425</f>
        <v>0.006313131313</v>
      </c>
      <c r="I437" s="19"/>
    </row>
    <row r="438">
      <c r="A438" s="44"/>
      <c r="B438" s="45"/>
      <c r="C438" s="45"/>
      <c r="D438" s="47" t="s">
        <v>136</v>
      </c>
      <c r="E438" s="45">
        <f t="shared" si="70"/>
        <v>151515.1515</v>
      </c>
      <c r="F438" s="45"/>
      <c r="G438" s="48" t="s">
        <v>139</v>
      </c>
      <c r="H438" s="45">
        <f>H412-H437</f>
        <v>4.160353535</v>
      </c>
      <c r="I438" s="50"/>
    </row>
    <row r="440">
      <c r="A440" s="6" t="s">
        <v>70</v>
      </c>
      <c r="B440" s="34" t="s">
        <v>169</v>
      </c>
      <c r="C440" s="10"/>
      <c r="D440" s="9" t="s">
        <v>71</v>
      </c>
      <c r="E440" s="10"/>
      <c r="F440" s="10"/>
      <c r="G440" s="10"/>
      <c r="H440" s="10"/>
      <c r="I440" s="11"/>
    </row>
    <row r="441">
      <c r="A441" s="12" t="s">
        <v>72</v>
      </c>
      <c r="B441" s="13">
        <v>1000000.0</v>
      </c>
      <c r="D441" s="56" t="str">
        <f>B440</f>
        <v>Test Date</v>
      </c>
      <c r="E441" s="16" t="s">
        <v>73</v>
      </c>
      <c r="F441" s="17"/>
      <c r="G441" s="16" t="s">
        <v>74</v>
      </c>
      <c r="H441" s="16" t="s">
        <v>75</v>
      </c>
      <c r="I441" s="57" t="s">
        <v>76</v>
      </c>
    </row>
    <row r="442">
      <c r="A442" s="12" t="s">
        <v>78</v>
      </c>
      <c r="B442" s="13">
        <v>0.0</v>
      </c>
      <c r="D442" s="20" t="s">
        <v>72</v>
      </c>
      <c r="E442" s="21">
        <f t="shared" ref="E442:E443" si="71">B441</f>
        <v>1000000</v>
      </c>
      <c r="F442" s="20" t="s">
        <v>79</v>
      </c>
      <c r="G442" s="21">
        <f t="shared" ref="G442:G443" si="72">B444</f>
        <v>4</v>
      </c>
      <c r="H442" s="4">
        <f>G442+(G443/60)</f>
        <v>4.166666667</v>
      </c>
      <c r="I442" s="58">
        <f>B449</f>
        <v>6</v>
      </c>
    </row>
    <row r="443">
      <c r="A443" s="12" t="s">
        <v>81</v>
      </c>
      <c r="B443" s="14"/>
      <c r="D443" s="20" t="s">
        <v>78</v>
      </c>
      <c r="E443" s="21">
        <f t="shared" si="71"/>
        <v>0</v>
      </c>
      <c r="F443" s="20" t="s">
        <v>82</v>
      </c>
      <c r="G443" s="21">
        <f t="shared" si="72"/>
        <v>10</v>
      </c>
      <c r="I443" s="19"/>
    </row>
    <row r="444">
      <c r="A444" s="24" t="s">
        <v>79</v>
      </c>
      <c r="B444" s="13">
        <v>4.0</v>
      </c>
      <c r="D444" s="20" t="s">
        <v>84</v>
      </c>
      <c r="E444" s="25">
        <f>E442-E443</f>
        <v>1000000</v>
      </c>
      <c r="F444" s="26"/>
      <c r="G444" s="16" t="s">
        <v>85</v>
      </c>
      <c r="H444" s="16" t="s">
        <v>86</v>
      </c>
      <c r="I444" s="57" t="s">
        <v>87</v>
      </c>
    </row>
    <row r="445">
      <c r="A445" s="24" t="s">
        <v>89</v>
      </c>
      <c r="B445" s="13">
        <v>10.0</v>
      </c>
      <c r="D445" s="51"/>
      <c r="F445" s="20" t="s">
        <v>79</v>
      </c>
      <c r="G445" s="21">
        <f t="shared" ref="G445:G446" si="73">B447</f>
        <v>4</v>
      </c>
      <c r="H445" s="25">
        <f>G445+(G446/60)</f>
        <v>4.166666667</v>
      </c>
      <c r="I445" s="19">
        <f>H442-H445</f>
        <v>0</v>
      </c>
    </row>
    <row r="446">
      <c r="A446" s="12" t="s">
        <v>85</v>
      </c>
      <c r="B446" s="27"/>
      <c r="D446" s="51"/>
      <c r="F446" s="20" t="s">
        <v>82</v>
      </c>
      <c r="G446" s="21">
        <f t="shared" si="73"/>
        <v>10</v>
      </c>
      <c r="I446" s="19"/>
    </row>
    <row r="447">
      <c r="A447" s="24" t="s">
        <v>79</v>
      </c>
      <c r="B447" s="13">
        <v>4.0</v>
      </c>
      <c r="D447" s="16" t="s">
        <v>170</v>
      </c>
      <c r="I447" s="19"/>
    </row>
    <row r="448">
      <c r="A448" s="24" t="s">
        <v>89</v>
      </c>
      <c r="B448" s="13">
        <v>10.0</v>
      </c>
      <c r="D448" s="16" t="s">
        <v>92</v>
      </c>
      <c r="E448" s="25">
        <f>E442/H452</f>
        <v>218181.8182</v>
      </c>
      <c r="I448" s="19"/>
    </row>
    <row r="449">
      <c r="A449" s="12" t="s">
        <v>98</v>
      </c>
      <c r="B449" s="13">
        <v>6.0</v>
      </c>
      <c r="D449" s="16" t="s">
        <v>94</v>
      </c>
      <c r="E449" s="25">
        <f>E442/I442</f>
        <v>166666.6667</v>
      </c>
      <c r="I449" s="19"/>
    </row>
    <row r="450">
      <c r="A450" s="32"/>
      <c r="D450" s="16" t="s">
        <v>96</v>
      </c>
      <c r="E450" s="25">
        <f>E448/I442</f>
        <v>36363.63636</v>
      </c>
      <c r="F450" s="4"/>
      <c r="G450" s="4"/>
      <c r="H450" s="4"/>
      <c r="I450" s="59"/>
    </row>
    <row r="451">
      <c r="A451" s="60"/>
      <c r="D451" s="16" t="s">
        <v>99</v>
      </c>
      <c r="E451" s="25">
        <f>E450/12</f>
        <v>3030.30303</v>
      </c>
      <c r="F451" s="4" t="s">
        <v>171</v>
      </c>
      <c r="I451" s="59"/>
    </row>
    <row r="452">
      <c r="A452" s="61"/>
      <c r="D452" s="16" t="s">
        <v>101</v>
      </c>
      <c r="E452" s="25">
        <f>E451*5</f>
        <v>15151.51515</v>
      </c>
      <c r="F452" s="4" t="s">
        <v>171</v>
      </c>
      <c r="G452" s="35" t="s">
        <v>105</v>
      </c>
      <c r="H452" s="25">
        <f>H442+(25/60)</f>
        <v>4.583333333</v>
      </c>
      <c r="I452" s="19"/>
    </row>
    <row r="453">
      <c r="A453" s="61"/>
      <c r="D453" s="17"/>
      <c r="G453" s="35" t="s">
        <v>108</v>
      </c>
      <c r="H453" s="25">
        <f>I445+(25/60)</f>
        <v>0.4166666667</v>
      </c>
      <c r="I453" s="19"/>
    </row>
    <row r="454">
      <c r="A454" s="61"/>
      <c r="D454" s="16" t="s">
        <v>111</v>
      </c>
      <c r="G454" s="16" t="s">
        <v>112</v>
      </c>
      <c r="I454" s="19"/>
    </row>
    <row r="455">
      <c r="A455" s="61"/>
      <c r="D455" s="16" t="s">
        <v>92</v>
      </c>
      <c r="E455" s="25">
        <f>E443/H445</f>
        <v>0</v>
      </c>
      <c r="G455" s="16" t="s">
        <v>92</v>
      </c>
      <c r="H455" s="25">
        <f>E444/H453</f>
        <v>2400000</v>
      </c>
      <c r="I455" s="19"/>
    </row>
    <row r="456">
      <c r="A456" s="61"/>
      <c r="D456" s="16" t="s">
        <v>94</v>
      </c>
      <c r="E456" s="25">
        <f>E443/I442</f>
        <v>0</v>
      </c>
      <c r="G456" s="16" t="s">
        <v>94</v>
      </c>
      <c r="H456" s="25">
        <f>E444/I442</f>
        <v>166666.6667</v>
      </c>
      <c r="I456" s="19"/>
    </row>
    <row r="457">
      <c r="A457" s="60"/>
      <c r="D457" s="16" t="s">
        <v>96</v>
      </c>
      <c r="E457" s="25">
        <f>E456/H445</f>
        <v>0</v>
      </c>
      <c r="G457" s="16" t="s">
        <v>96</v>
      </c>
      <c r="H457" s="25">
        <f>H456/H453</f>
        <v>400000</v>
      </c>
      <c r="I457" s="19"/>
    </row>
    <row r="458">
      <c r="A458" s="32"/>
      <c r="D458" s="16" t="s">
        <v>99</v>
      </c>
      <c r="E458" s="25">
        <f>E457/12</f>
        <v>0</v>
      </c>
      <c r="G458" s="16" t="s">
        <v>99</v>
      </c>
      <c r="H458" s="25">
        <f>H457/12</f>
        <v>33333.33333</v>
      </c>
      <c r="I458" s="19"/>
    </row>
    <row r="459">
      <c r="A459" s="42"/>
      <c r="D459" s="16" t="s">
        <v>101</v>
      </c>
      <c r="E459" s="25">
        <f>E458*5</f>
        <v>0</v>
      </c>
      <c r="G459" s="16" t="s">
        <v>101</v>
      </c>
      <c r="H459" s="25">
        <f>H458*5</f>
        <v>166666.6667</v>
      </c>
      <c r="I459" s="19"/>
    </row>
    <row r="460">
      <c r="A460" s="42"/>
      <c r="I460" s="19"/>
    </row>
    <row r="461">
      <c r="A461" s="42"/>
      <c r="D461" s="28" t="s">
        <v>124</v>
      </c>
      <c r="E461" s="41"/>
      <c r="F461" s="41"/>
      <c r="I461" s="19"/>
    </row>
    <row r="462">
      <c r="A462" s="42"/>
      <c r="D462" s="4" t="s">
        <v>126</v>
      </c>
      <c r="E462" s="25">
        <f t="shared" ref="E462:E464" si="74">H457-E457</f>
        <v>400000</v>
      </c>
      <c r="I462" s="19"/>
    </row>
    <row r="463">
      <c r="A463" s="42"/>
      <c r="D463" s="4" t="s">
        <v>128</v>
      </c>
      <c r="E463" s="25">
        <f t="shared" si="74"/>
        <v>33333.33333</v>
      </c>
      <c r="I463" s="19"/>
    </row>
    <row r="464">
      <c r="A464" s="32"/>
      <c r="D464" s="4" t="s">
        <v>129</v>
      </c>
      <c r="E464" s="25">
        <f t="shared" si="74"/>
        <v>166666.6667</v>
      </c>
      <c r="G464" s="43"/>
      <c r="I464" s="19"/>
    </row>
    <row r="465">
      <c r="A465" s="32"/>
      <c r="D465" s="28" t="s">
        <v>131</v>
      </c>
      <c r="I465" s="19"/>
    </row>
    <row r="466">
      <c r="A466" s="32"/>
      <c r="D466" s="4" t="s">
        <v>132</v>
      </c>
      <c r="E466" s="25">
        <f t="shared" ref="E466:E468" si="75">H457-E450</f>
        <v>363636.3636</v>
      </c>
      <c r="G466" s="28" t="s">
        <v>134</v>
      </c>
      <c r="I466" s="19"/>
    </row>
    <row r="467">
      <c r="A467" s="32"/>
      <c r="D467" s="4" t="s">
        <v>133</v>
      </c>
      <c r="E467" s="25">
        <f t="shared" si="75"/>
        <v>30303.0303</v>
      </c>
      <c r="G467" s="35" t="s">
        <v>137</v>
      </c>
      <c r="H467" s="25">
        <f>E452/H455</f>
        <v>0.006313131313</v>
      </c>
      <c r="I467" s="19"/>
    </row>
    <row r="468">
      <c r="A468" s="44"/>
      <c r="B468" s="45"/>
      <c r="C468" s="45"/>
      <c r="D468" s="47" t="s">
        <v>136</v>
      </c>
      <c r="E468" s="45">
        <f t="shared" si="75"/>
        <v>151515.1515</v>
      </c>
      <c r="F468" s="45"/>
      <c r="G468" s="48" t="s">
        <v>139</v>
      </c>
      <c r="H468" s="45">
        <f>H442-H467</f>
        <v>4.160353535</v>
      </c>
      <c r="I468" s="50"/>
    </row>
    <row r="470">
      <c r="A470" s="6" t="s">
        <v>70</v>
      </c>
      <c r="B470" s="34" t="s">
        <v>169</v>
      </c>
      <c r="C470" s="10"/>
      <c r="D470" s="9" t="s">
        <v>71</v>
      </c>
      <c r="E470" s="10"/>
      <c r="F470" s="10"/>
      <c r="G470" s="10"/>
      <c r="H470" s="10"/>
      <c r="I470" s="11"/>
    </row>
    <row r="471">
      <c r="A471" s="12" t="s">
        <v>72</v>
      </c>
      <c r="B471" s="13">
        <v>1000000.0</v>
      </c>
      <c r="D471" s="56" t="str">
        <f>B470</f>
        <v>Test Date</v>
      </c>
      <c r="E471" s="16" t="s">
        <v>73</v>
      </c>
      <c r="F471" s="17"/>
      <c r="G471" s="16" t="s">
        <v>74</v>
      </c>
      <c r="H471" s="16" t="s">
        <v>75</v>
      </c>
      <c r="I471" s="57" t="s">
        <v>76</v>
      </c>
    </row>
    <row r="472">
      <c r="A472" s="12" t="s">
        <v>78</v>
      </c>
      <c r="B472" s="13">
        <v>0.0</v>
      </c>
      <c r="D472" s="20" t="s">
        <v>72</v>
      </c>
      <c r="E472" s="21">
        <f t="shared" ref="E472:E473" si="76">B471</f>
        <v>1000000</v>
      </c>
      <c r="F472" s="20" t="s">
        <v>79</v>
      </c>
      <c r="G472" s="21">
        <f t="shared" ref="G472:G473" si="77">B474</f>
        <v>4</v>
      </c>
      <c r="H472" s="4">
        <f>G472+(G473/60)</f>
        <v>4.166666667</v>
      </c>
      <c r="I472" s="58">
        <f>B479</f>
        <v>6</v>
      </c>
    </row>
    <row r="473">
      <c r="A473" s="12" t="s">
        <v>81</v>
      </c>
      <c r="B473" s="14"/>
      <c r="D473" s="20" t="s">
        <v>78</v>
      </c>
      <c r="E473" s="21">
        <f t="shared" si="76"/>
        <v>0</v>
      </c>
      <c r="F473" s="20" t="s">
        <v>82</v>
      </c>
      <c r="G473" s="21">
        <f t="shared" si="77"/>
        <v>10</v>
      </c>
      <c r="I473" s="19"/>
    </row>
    <row r="474">
      <c r="A474" s="24" t="s">
        <v>79</v>
      </c>
      <c r="B474" s="13">
        <v>4.0</v>
      </c>
      <c r="D474" s="20" t="s">
        <v>84</v>
      </c>
      <c r="E474" s="25">
        <f>E472-E473</f>
        <v>1000000</v>
      </c>
      <c r="F474" s="26"/>
      <c r="G474" s="16" t="s">
        <v>85</v>
      </c>
      <c r="H474" s="16" t="s">
        <v>86</v>
      </c>
      <c r="I474" s="57" t="s">
        <v>87</v>
      </c>
    </row>
    <row r="475">
      <c r="A475" s="24" t="s">
        <v>89</v>
      </c>
      <c r="B475" s="13">
        <v>10.0</v>
      </c>
      <c r="D475" s="51"/>
      <c r="F475" s="20" t="s">
        <v>79</v>
      </c>
      <c r="G475" s="21">
        <f t="shared" ref="G475:G476" si="78">B477</f>
        <v>4</v>
      </c>
      <c r="H475" s="25">
        <f>G475+(G476/60)</f>
        <v>4.166666667</v>
      </c>
      <c r="I475" s="19">
        <f>H472-H475</f>
        <v>0</v>
      </c>
    </row>
    <row r="476">
      <c r="A476" s="12" t="s">
        <v>85</v>
      </c>
      <c r="B476" s="27"/>
      <c r="D476" s="51"/>
      <c r="F476" s="20" t="s">
        <v>82</v>
      </c>
      <c r="G476" s="21">
        <f t="shared" si="78"/>
        <v>10</v>
      </c>
      <c r="I476" s="19"/>
    </row>
    <row r="477">
      <c r="A477" s="24" t="s">
        <v>79</v>
      </c>
      <c r="B477" s="13">
        <v>4.0</v>
      </c>
      <c r="D477" s="16" t="s">
        <v>170</v>
      </c>
      <c r="I477" s="19"/>
    </row>
    <row r="478">
      <c r="A478" s="24" t="s">
        <v>89</v>
      </c>
      <c r="B478" s="13">
        <v>10.0</v>
      </c>
      <c r="D478" s="16" t="s">
        <v>92</v>
      </c>
      <c r="E478" s="25">
        <f>E472/H482</f>
        <v>218181.8182</v>
      </c>
      <c r="I478" s="19"/>
    </row>
    <row r="479">
      <c r="A479" s="12" t="s">
        <v>98</v>
      </c>
      <c r="B479" s="13">
        <v>6.0</v>
      </c>
      <c r="D479" s="16" t="s">
        <v>94</v>
      </c>
      <c r="E479" s="25">
        <f>E472/I472</f>
        <v>166666.6667</v>
      </c>
      <c r="I479" s="19"/>
    </row>
    <row r="480">
      <c r="A480" s="32"/>
      <c r="D480" s="16" t="s">
        <v>96</v>
      </c>
      <c r="E480" s="25">
        <f>E478/I472</f>
        <v>36363.63636</v>
      </c>
      <c r="F480" s="4"/>
      <c r="G480" s="4"/>
      <c r="H480" s="4"/>
      <c r="I480" s="59"/>
    </row>
    <row r="481">
      <c r="A481" s="60"/>
      <c r="D481" s="16" t="s">
        <v>99</v>
      </c>
      <c r="E481" s="25">
        <f>E480/12</f>
        <v>3030.30303</v>
      </c>
      <c r="F481" s="4" t="s">
        <v>171</v>
      </c>
      <c r="I481" s="59"/>
    </row>
    <row r="482">
      <c r="A482" s="61"/>
      <c r="D482" s="16" t="s">
        <v>101</v>
      </c>
      <c r="E482" s="25">
        <f>E481*5</f>
        <v>15151.51515</v>
      </c>
      <c r="F482" s="4" t="s">
        <v>171</v>
      </c>
      <c r="G482" s="35" t="s">
        <v>105</v>
      </c>
      <c r="H482" s="25">
        <f>H472+(25/60)</f>
        <v>4.583333333</v>
      </c>
      <c r="I482" s="19"/>
    </row>
    <row r="483">
      <c r="A483" s="61"/>
      <c r="D483" s="17"/>
      <c r="G483" s="35" t="s">
        <v>108</v>
      </c>
      <c r="H483" s="25">
        <f>I475+(25/60)</f>
        <v>0.4166666667</v>
      </c>
      <c r="I483" s="19"/>
    </row>
    <row r="484">
      <c r="A484" s="61"/>
      <c r="D484" s="16" t="s">
        <v>111</v>
      </c>
      <c r="G484" s="16" t="s">
        <v>112</v>
      </c>
      <c r="I484" s="19"/>
    </row>
    <row r="485">
      <c r="A485" s="61"/>
      <c r="D485" s="16" t="s">
        <v>92</v>
      </c>
      <c r="E485" s="25">
        <f>E473/H475</f>
        <v>0</v>
      </c>
      <c r="G485" s="16" t="s">
        <v>92</v>
      </c>
      <c r="H485" s="25">
        <f>E474/H483</f>
        <v>2400000</v>
      </c>
      <c r="I485" s="19"/>
    </row>
    <row r="486">
      <c r="A486" s="61"/>
      <c r="D486" s="16" t="s">
        <v>94</v>
      </c>
      <c r="E486" s="25">
        <f>E473/I472</f>
        <v>0</v>
      </c>
      <c r="G486" s="16" t="s">
        <v>94</v>
      </c>
      <c r="H486" s="25">
        <f>E474/I472</f>
        <v>166666.6667</v>
      </c>
      <c r="I486" s="19"/>
    </row>
    <row r="487">
      <c r="A487" s="60"/>
      <c r="D487" s="16" t="s">
        <v>96</v>
      </c>
      <c r="E487" s="25">
        <f>E486/H475</f>
        <v>0</v>
      </c>
      <c r="G487" s="16" t="s">
        <v>96</v>
      </c>
      <c r="H487" s="25">
        <f>H486/H483</f>
        <v>400000</v>
      </c>
      <c r="I487" s="19"/>
    </row>
    <row r="488">
      <c r="A488" s="32"/>
      <c r="D488" s="16" t="s">
        <v>99</v>
      </c>
      <c r="E488" s="25">
        <f>E487/12</f>
        <v>0</v>
      </c>
      <c r="G488" s="16" t="s">
        <v>99</v>
      </c>
      <c r="H488" s="25">
        <f>H487/12</f>
        <v>33333.33333</v>
      </c>
      <c r="I488" s="19"/>
    </row>
    <row r="489">
      <c r="A489" s="42"/>
      <c r="D489" s="16" t="s">
        <v>101</v>
      </c>
      <c r="E489" s="25">
        <f>E488*5</f>
        <v>0</v>
      </c>
      <c r="G489" s="16" t="s">
        <v>101</v>
      </c>
      <c r="H489" s="25">
        <f>H488*5</f>
        <v>166666.6667</v>
      </c>
      <c r="I489" s="19"/>
    </row>
    <row r="490">
      <c r="A490" s="42"/>
      <c r="I490" s="19"/>
    </row>
    <row r="491">
      <c r="A491" s="42"/>
      <c r="D491" s="28" t="s">
        <v>124</v>
      </c>
      <c r="E491" s="41"/>
      <c r="F491" s="41"/>
      <c r="I491" s="19"/>
    </row>
    <row r="492">
      <c r="A492" s="42"/>
      <c r="D492" s="4" t="s">
        <v>126</v>
      </c>
      <c r="E492" s="25">
        <f t="shared" ref="E492:E494" si="79">H487-E487</f>
        <v>400000</v>
      </c>
      <c r="I492" s="19"/>
    </row>
    <row r="493">
      <c r="A493" s="42"/>
      <c r="D493" s="4" t="s">
        <v>128</v>
      </c>
      <c r="E493" s="25">
        <f t="shared" si="79"/>
        <v>33333.33333</v>
      </c>
      <c r="I493" s="19"/>
    </row>
    <row r="494">
      <c r="A494" s="32"/>
      <c r="D494" s="4" t="s">
        <v>129</v>
      </c>
      <c r="E494" s="25">
        <f t="shared" si="79"/>
        <v>166666.6667</v>
      </c>
      <c r="G494" s="43"/>
      <c r="I494" s="19"/>
    </row>
    <row r="495">
      <c r="A495" s="32"/>
      <c r="D495" s="28" t="s">
        <v>131</v>
      </c>
      <c r="I495" s="19"/>
    </row>
    <row r="496">
      <c r="A496" s="32"/>
      <c r="D496" s="4" t="s">
        <v>132</v>
      </c>
      <c r="E496" s="25">
        <f t="shared" ref="E496:E498" si="80">H487-E480</f>
        <v>363636.3636</v>
      </c>
      <c r="G496" s="28" t="s">
        <v>134</v>
      </c>
      <c r="I496" s="19"/>
    </row>
    <row r="497">
      <c r="A497" s="32"/>
      <c r="D497" s="4" t="s">
        <v>133</v>
      </c>
      <c r="E497" s="25">
        <f t="shared" si="80"/>
        <v>30303.0303</v>
      </c>
      <c r="G497" s="35" t="s">
        <v>137</v>
      </c>
      <c r="H497" s="25">
        <f>E482/H485</f>
        <v>0.006313131313</v>
      </c>
      <c r="I497" s="19"/>
    </row>
    <row r="498">
      <c r="A498" s="44"/>
      <c r="B498" s="45"/>
      <c r="C498" s="45"/>
      <c r="D498" s="47" t="s">
        <v>136</v>
      </c>
      <c r="E498" s="45">
        <f t="shared" si="80"/>
        <v>151515.1515</v>
      </c>
      <c r="F498" s="45"/>
      <c r="G498" s="48" t="s">
        <v>139</v>
      </c>
      <c r="H498" s="45">
        <f>H472-H497</f>
        <v>4.160353535</v>
      </c>
      <c r="I498" s="50"/>
    </row>
    <row r="500">
      <c r="A500" s="6" t="s">
        <v>70</v>
      </c>
      <c r="B500" s="34" t="s">
        <v>169</v>
      </c>
      <c r="C500" s="10"/>
      <c r="D500" s="9" t="s">
        <v>71</v>
      </c>
      <c r="E500" s="10"/>
      <c r="F500" s="10"/>
      <c r="G500" s="10"/>
      <c r="H500" s="10"/>
      <c r="I500" s="11"/>
    </row>
    <row r="501">
      <c r="A501" s="12" t="s">
        <v>72</v>
      </c>
      <c r="B501" s="13">
        <v>1000000.0</v>
      </c>
      <c r="D501" s="56" t="str">
        <f>B500</f>
        <v>Test Date</v>
      </c>
      <c r="E501" s="16" t="s">
        <v>73</v>
      </c>
      <c r="F501" s="17"/>
      <c r="G501" s="16" t="s">
        <v>74</v>
      </c>
      <c r="H501" s="16" t="s">
        <v>75</v>
      </c>
      <c r="I501" s="57" t="s">
        <v>76</v>
      </c>
    </row>
    <row r="502">
      <c r="A502" s="12" t="s">
        <v>78</v>
      </c>
      <c r="B502" s="13">
        <v>0.0</v>
      </c>
      <c r="D502" s="20" t="s">
        <v>72</v>
      </c>
      <c r="E502" s="21">
        <f t="shared" ref="E502:E503" si="81">B501</f>
        <v>1000000</v>
      </c>
      <c r="F502" s="20" t="s">
        <v>79</v>
      </c>
      <c r="G502" s="21">
        <f t="shared" ref="G502:G503" si="82">B504</f>
        <v>4</v>
      </c>
      <c r="H502" s="4">
        <f>G502+(G503/60)</f>
        <v>4.166666667</v>
      </c>
      <c r="I502" s="58">
        <f>B509</f>
        <v>6</v>
      </c>
    </row>
    <row r="503">
      <c r="A503" s="12" t="s">
        <v>81</v>
      </c>
      <c r="B503" s="14"/>
      <c r="D503" s="20" t="s">
        <v>78</v>
      </c>
      <c r="E503" s="21">
        <f t="shared" si="81"/>
        <v>0</v>
      </c>
      <c r="F503" s="20" t="s">
        <v>82</v>
      </c>
      <c r="G503" s="21">
        <f t="shared" si="82"/>
        <v>10</v>
      </c>
      <c r="I503" s="19"/>
    </row>
    <row r="504">
      <c r="A504" s="24" t="s">
        <v>79</v>
      </c>
      <c r="B504" s="13">
        <v>4.0</v>
      </c>
      <c r="D504" s="20" t="s">
        <v>84</v>
      </c>
      <c r="E504" s="25">
        <f>E502-E503</f>
        <v>1000000</v>
      </c>
      <c r="F504" s="26"/>
      <c r="G504" s="16" t="s">
        <v>85</v>
      </c>
      <c r="H504" s="16" t="s">
        <v>86</v>
      </c>
      <c r="I504" s="57" t="s">
        <v>87</v>
      </c>
    </row>
    <row r="505">
      <c r="A505" s="24" t="s">
        <v>89</v>
      </c>
      <c r="B505" s="13">
        <v>10.0</v>
      </c>
      <c r="D505" s="51"/>
      <c r="F505" s="20" t="s">
        <v>79</v>
      </c>
      <c r="G505" s="21">
        <f t="shared" ref="G505:G506" si="83">B507</f>
        <v>4</v>
      </c>
      <c r="H505" s="25">
        <f>G505+(G506/60)</f>
        <v>4.166666667</v>
      </c>
      <c r="I505" s="19">
        <f>H502-H505</f>
        <v>0</v>
      </c>
    </row>
    <row r="506">
      <c r="A506" s="12" t="s">
        <v>85</v>
      </c>
      <c r="B506" s="27"/>
      <c r="D506" s="51"/>
      <c r="F506" s="20" t="s">
        <v>82</v>
      </c>
      <c r="G506" s="21">
        <f t="shared" si="83"/>
        <v>10</v>
      </c>
      <c r="I506" s="19"/>
    </row>
    <row r="507">
      <c r="A507" s="24" t="s">
        <v>79</v>
      </c>
      <c r="B507" s="13">
        <v>4.0</v>
      </c>
      <c r="D507" s="16" t="s">
        <v>170</v>
      </c>
      <c r="I507" s="19"/>
    </row>
    <row r="508">
      <c r="A508" s="24" t="s">
        <v>89</v>
      </c>
      <c r="B508" s="13">
        <v>10.0</v>
      </c>
      <c r="D508" s="16" t="s">
        <v>92</v>
      </c>
      <c r="E508" s="25">
        <f>E502/H512</f>
        <v>218181.8182</v>
      </c>
      <c r="I508" s="19"/>
    </row>
    <row r="509">
      <c r="A509" s="12" t="s">
        <v>98</v>
      </c>
      <c r="B509" s="13">
        <v>6.0</v>
      </c>
      <c r="D509" s="16" t="s">
        <v>94</v>
      </c>
      <c r="E509" s="25">
        <f>E502/I502</f>
        <v>166666.6667</v>
      </c>
      <c r="I509" s="19"/>
    </row>
    <row r="510">
      <c r="A510" s="32"/>
      <c r="D510" s="16" t="s">
        <v>96</v>
      </c>
      <c r="E510" s="25">
        <f>E508/I502</f>
        <v>36363.63636</v>
      </c>
      <c r="F510" s="4"/>
      <c r="G510" s="4"/>
      <c r="H510" s="4"/>
      <c r="I510" s="59"/>
    </row>
    <row r="511">
      <c r="A511" s="60"/>
      <c r="D511" s="16" t="s">
        <v>99</v>
      </c>
      <c r="E511" s="25">
        <f>E510/12</f>
        <v>3030.30303</v>
      </c>
      <c r="F511" s="4" t="s">
        <v>171</v>
      </c>
      <c r="I511" s="59"/>
    </row>
    <row r="512">
      <c r="A512" s="61"/>
      <c r="D512" s="16" t="s">
        <v>101</v>
      </c>
      <c r="E512" s="25">
        <f>E511*5</f>
        <v>15151.51515</v>
      </c>
      <c r="F512" s="4" t="s">
        <v>171</v>
      </c>
      <c r="G512" s="35" t="s">
        <v>105</v>
      </c>
      <c r="H512" s="25">
        <f>H502+(25/60)</f>
        <v>4.583333333</v>
      </c>
      <c r="I512" s="19"/>
    </row>
    <row r="513">
      <c r="A513" s="61"/>
      <c r="D513" s="17"/>
      <c r="G513" s="35" t="s">
        <v>108</v>
      </c>
      <c r="H513" s="25">
        <f>I505+(25/60)</f>
        <v>0.4166666667</v>
      </c>
      <c r="I513" s="19"/>
    </row>
    <row r="514">
      <c r="A514" s="61"/>
      <c r="D514" s="16" t="s">
        <v>111</v>
      </c>
      <c r="G514" s="16" t="s">
        <v>112</v>
      </c>
      <c r="I514" s="19"/>
    </row>
    <row r="515">
      <c r="A515" s="61"/>
      <c r="D515" s="16" t="s">
        <v>92</v>
      </c>
      <c r="E515" s="25">
        <f>E503/H505</f>
        <v>0</v>
      </c>
      <c r="G515" s="16" t="s">
        <v>92</v>
      </c>
      <c r="H515" s="25">
        <f>E504/H513</f>
        <v>2400000</v>
      </c>
      <c r="I515" s="19"/>
    </row>
    <row r="516">
      <c r="A516" s="61"/>
      <c r="D516" s="16" t="s">
        <v>94</v>
      </c>
      <c r="E516" s="25">
        <f>E503/I502</f>
        <v>0</v>
      </c>
      <c r="G516" s="16" t="s">
        <v>94</v>
      </c>
      <c r="H516" s="25">
        <f>E504/I502</f>
        <v>166666.6667</v>
      </c>
      <c r="I516" s="19"/>
    </row>
    <row r="517">
      <c r="A517" s="60"/>
      <c r="D517" s="16" t="s">
        <v>96</v>
      </c>
      <c r="E517" s="25">
        <f>E516/H505</f>
        <v>0</v>
      </c>
      <c r="G517" s="16" t="s">
        <v>96</v>
      </c>
      <c r="H517" s="25">
        <f>H516/H513</f>
        <v>400000</v>
      </c>
      <c r="I517" s="19"/>
    </row>
    <row r="518">
      <c r="A518" s="32"/>
      <c r="D518" s="16" t="s">
        <v>99</v>
      </c>
      <c r="E518" s="25">
        <f>E517/12</f>
        <v>0</v>
      </c>
      <c r="G518" s="16" t="s">
        <v>99</v>
      </c>
      <c r="H518" s="25">
        <f>H517/12</f>
        <v>33333.33333</v>
      </c>
      <c r="I518" s="19"/>
    </row>
    <row r="519">
      <c r="A519" s="42"/>
      <c r="D519" s="16" t="s">
        <v>101</v>
      </c>
      <c r="E519" s="25">
        <f>E518*5</f>
        <v>0</v>
      </c>
      <c r="G519" s="16" t="s">
        <v>101</v>
      </c>
      <c r="H519" s="25">
        <f>H518*5</f>
        <v>166666.6667</v>
      </c>
      <c r="I519" s="19"/>
    </row>
    <row r="520">
      <c r="A520" s="42"/>
      <c r="I520" s="19"/>
    </row>
    <row r="521">
      <c r="A521" s="42"/>
      <c r="D521" s="28" t="s">
        <v>124</v>
      </c>
      <c r="E521" s="41"/>
      <c r="F521" s="41"/>
      <c r="I521" s="19"/>
    </row>
    <row r="522">
      <c r="A522" s="42"/>
      <c r="D522" s="4" t="s">
        <v>126</v>
      </c>
      <c r="E522" s="25">
        <f t="shared" ref="E522:E524" si="84">H517-E517</f>
        <v>400000</v>
      </c>
      <c r="I522" s="19"/>
    </row>
    <row r="523">
      <c r="A523" s="42"/>
      <c r="D523" s="4" t="s">
        <v>128</v>
      </c>
      <c r="E523" s="25">
        <f t="shared" si="84"/>
        <v>33333.33333</v>
      </c>
      <c r="I523" s="19"/>
    </row>
    <row r="524">
      <c r="A524" s="32"/>
      <c r="D524" s="4" t="s">
        <v>129</v>
      </c>
      <c r="E524" s="25">
        <f t="shared" si="84"/>
        <v>166666.6667</v>
      </c>
      <c r="G524" s="43"/>
      <c r="I524" s="19"/>
    </row>
    <row r="525">
      <c r="A525" s="32"/>
      <c r="D525" s="28" t="s">
        <v>131</v>
      </c>
      <c r="I525" s="19"/>
    </row>
    <row r="526">
      <c r="A526" s="32"/>
      <c r="D526" s="4" t="s">
        <v>132</v>
      </c>
      <c r="E526" s="25">
        <f t="shared" ref="E526:E528" si="85">H517-E510</f>
        <v>363636.3636</v>
      </c>
      <c r="G526" s="28" t="s">
        <v>134</v>
      </c>
      <c r="I526" s="19"/>
    </row>
    <row r="527">
      <c r="A527" s="32"/>
      <c r="D527" s="4" t="s">
        <v>133</v>
      </c>
      <c r="E527" s="25">
        <f t="shared" si="85"/>
        <v>30303.0303</v>
      </c>
      <c r="G527" s="35" t="s">
        <v>137</v>
      </c>
      <c r="H527" s="25">
        <f>E512/H515</f>
        <v>0.006313131313</v>
      </c>
      <c r="I527" s="19"/>
    </row>
    <row r="528">
      <c r="A528" s="44"/>
      <c r="B528" s="45"/>
      <c r="C528" s="45"/>
      <c r="D528" s="47" t="s">
        <v>136</v>
      </c>
      <c r="E528" s="45">
        <f t="shared" si="85"/>
        <v>151515.1515</v>
      </c>
      <c r="F528" s="45"/>
      <c r="G528" s="48" t="s">
        <v>139</v>
      </c>
      <c r="H528" s="45">
        <f>H502-H527</f>
        <v>4.160353535</v>
      </c>
      <c r="I528" s="50"/>
    </row>
    <row r="530">
      <c r="A530" s="6" t="s">
        <v>70</v>
      </c>
      <c r="B530" s="34" t="s">
        <v>169</v>
      </c>
      <c r="C530" s="10"/>
      <c r="D530" s="9" t="s">
        <v>71</v>
      </c>
      <c r="E530" s="10"/>
      <c r="F530" s="10"/>
      <c r="G530" s="10"/>
      <c r="H530" s="10"/>
      <c r="I530" s="11"/>
    </row>
    <row r="531">
      <c r="A531" s="12" t="s">
        <v>72</v>
      </c>
      <c r="B531" s="13">
        <v>1000000.0</v>
      </c>
      <c r="D531" s="56" t="str">
        <f>B530</f>
        <v>Test Date</v>
      </c>
      <c r="E531" s="16" t="s">
        <v>73</v>
      </c>
      <c r="F531" s="17"/>
      <c r="G531" s="16" t="s">
        <v>74</v>
      </c>
      <c r="H531" s="16" t="s">
        <v>75</v>
      </c>
      <c r="I531" s="57" t="s">
        <v>76</v>
      </c>
    </row>
    <row r="532">
      <c r="A532" s="12" t="s">
        <v>78</v>
      </c>
      <c r="B532" s="13">
        <v>0.0</v>
      </c>
      <c r="D532" s="20" t="s">
        <v>72</v>
      </c>
      <c r="E532" s="21">
        <f t="shared" ref="E532:E533" si="86">B531</f>
        <v>1000000</v>
      </c>
      <c r="F532" s="20" t="s">
        <v>79</v>
      </c>
      <c r="G532" s="21">
        <f t="shared" ref="G532:G533" si="87">B534</f>
        <v>4</v>
      </c>
      <c r="H532" s="4">
        <f>G532+(G533/60)</f>
        <v>4.166666667</v>
      </c>
      <c r="I532" s="58">
        <f>B539</f>
        <v>6</v>
      </c>
    </row>
    <row r="533">
      <c r="A533" s="12" t="s">
        <v>81</v>
      </c>
      <c r="B533" s="14"/>
      <c r="D533" s="20" t="s">
        <v>78</v>
      </c>
      <c r="E533" s="21">
        <f t="shared" si="86"/>
        <v>0</v>
      </c>
      <c r="F533" s="20" t="s">
        <v>82</v>
      </c>
      <c r="G533" s="21">
        <f t="shared" si="87"/>
        <v>10</v>
      </c>
      <c r="I533" s="19"/>
    </row>
    <row r="534">
      <c r="A534" s="24" t="s">
        <v>79</v>
      </c>
      <c r="B534" s="13">
        <v>4.0</v>
      </c>
      <c r="D534" s="20" t="s">
        <v>84</v>
      </c>
      <c r="E534" s="25">
        <f>E532-E533</f>
        <v>1000000</v>
      </c>
      <c r="F534" s="26"/>
      <c r="G534" s="16" t="s">
        <v>85</v>
      </c>
      <c r="H534" s="16" t="s">
        <v>86</v>
      </c>
      <c r="I534" s="57" t="s">
        <v>87</v>
      </c>
    </row>
    <row r="535">
      <c r="A535" s="24" t="s">
        <v>89</v>
      </c>
      <c r="B535" s="13">
        <v>10.0</v>
      </c>
      <c r="D535" s="51"/>
      <c r="F535" s="20" t="s">
        <v>79</v>
      </c>
      <c r="G535" s="21">
        <f t="shared" ref="G535:G536" si="88">B537</f>
        <v>4</v>
      </c>
      <c r="H535" s="25">
        <f>G535+(G536/60)</f>
        <v>4.166666667</v>
      </c>
      <c r="I535" s="19">
        <f>H532-H535</f>
        <v>0</v>
      </c>
    </row>
    <row r="536">
      <c r="A536" s="12" t="s">
        <v>85</v>
      </c>
      <c r="B536" s="27"/>
      <c r="D536" s="51"/>
      <c r="F536" s="20" t="s">
        <v>82</v>
      </c>
      <c r="G536" s="21">
        <f t="shared" si="88"/>
        <v>10</v>
      </c>
      <c r="I536" s="19"/>
    </row>
    <row r="537">
      <c r="A537" s="24" t="s">
        <v>79</v>
      </c>
      <c r="B537" s="13">
        <v>4.0</v>
      </c>
      <c r="D537" s="16" t="s">
        <v>170</v>
      </c>
      <c r="I537" s="19"/>
    </row>
    <row r="538">
      <c r="A538" s="24" t="s">
        <v>89</v>
      </c>
      <c r="B538" s="13">
        <v>10.0</v>
      </c>
      <c r="D538" s="16" t="s">
        <v>92</v>
      </c>
      <c r="E538" s="25">
        <f>E532/H542</f>
        <v>218181.8182</v>
      </c>
      <c r="I538" s="19"/>
    </row>
    <row r="539">
      <c r="A539" s="12" t="s">
        <v>98</v>
      </c>
      <c r="B539" s="13">
        <v>6.0</v>
      </c>
      <c r="D539" s="16" t="s">
        <v>94</v>
      </c>
      <c r="E539" s="25">
        <f>E532/I532</f>
        <v>166666.6667</v>
      </c>
      <c r="I539" s="19"/>
    </row>
    <row r="540">
      <c r="A540" s="32"/>
      <c r="D540" s="16" t="s">
        <v>96</v>
      </c>
      <c r="E540" s="25">
        <f>E538/I532</f>
        <v>36363.63636</v>
      </c>
      <c r="F540" s="4"/>
      <c r="G540" s="4"/>
      <c r="H540" s="4"/>
      <c r="I540" s="59"/>
    </row>
    <row r="541">
      <c r="A541" s="60"/>
      <c r="D541" s="16" t="s">
        <v>99</v>
      </c>
      <c r="E541" s="25">
        <f>E540/12</f>
        <v>3030.30303</v>
      </c>
      <c r="F541" s="4" t="s">
        <v>171</v>
      </c>
      <c r="I541" s="59"/>
    </row>
    <row r="542">
      <c r="A542" s="61"/>
      <c r="D542" s="16" t="s">
        <v>101</v>
      </c>
      <c r="E542" s="25">
        <f>E541*5</f>
        <v>15151.51515</v>
      </c>
      <c r="F542" s="4" t="s">
        <v>171</v>
      </c>
      <c r="G542" s="35" t="s">
        <v>105</v>
      </c>
      <c r="H542" s="25">
        <f>H532+(25/60)</f>
        <v>4.583333333</v>
      </c>
      <c r="I542" s="19"/>
    </row>
    <row r="543">
      <c r="A543" s="61"/>
      <c r="D543" s="17"/>
      <c r="G543" s="35" t="s">
        <v>108</v>
      </c>
      <c r="H543" s="25">
        <f>I535+(25/60)</f>
        <v>0.4166666667</v>
      </c>
      <c r="I543" s="19"/>
    </row>
    <row r="544">
      <c r="A544" s="61"/>
      <c r="D544" s="16" t="s">
        <v>111</v>
      </c>
      <c r="G544" s="16" t="s">
        <v>112</v>
      </c>
      <c r="I544" s="19"/>
    </row>
    <row r="545">
      <c r="A545" s="61"/>
      <c r="D545" s="16" t="s">
        <v>92</v>
      </c>
      <c r="E545" s="25">
        <f>E533/H535</f>
        <v>0</v>
      </c>
      <c r="G545" s="16" t="s">
        <v>92</v>
      </c>
      <c r="H545" s="25">
        <f>E534/H543</f>
        <v>2400000</v>
      </c>
      <c r="I545" s="19"/>
    </row>
    <row r="546">
      <c r="A546" s="61"/>
      <c r="D546" s="16" t="s">
        <v>94</v>
      </c>
      <c r="E546" s="25">
        <f>E533/I532</f>
        <v>0</v>
      </c>
      <c r="G546" s="16" t="s">
        <v>94</v>
      </c>
      <c r="H546" s="25">
        <f>E534/I532</f>
        <v>166666.6667</v>
      </c>
      <c r="I546" s="19"/>
    </row>
    <row r="547">
      <c r="A547" s="60"/>
      <c r="D547" s="16" t="s">
        <v>96</v>
      </c>
      <c r="E547" s="25">
        <f>E546/H535</f>
        <v>0</v>
      </c>
      <c r="G547" s="16" t="s">
        <v>96</v>
      </c>
      <c r="H547" s="25">
        <f>H546/H543</f>
        <v>400000</v>
      </c>
      <c r="I547" s="19"/>
    </row>
    <row r="548">
      <c r="A548" s="32"/>
      <c r="D548" s="16" t="s">
        <v>99</v>
      </c>
      <c r="E548" s="25">
        <f>E547/12</f>
        <v>0</v>
      </c>
      <c r="G548" s="16" t="s">
        <v>99</v>
      </c>
      <c r="H548" s="25">
        <f>H547/12</f>
        <v>33333.33333</v>
      </c>
      <c r="I548" s="19"/>
    </row>
    <row r="549">
      <c r="A549" s="42"/>
      <c r="D549" s="16" t="s">
        <v>101</v>
      </c>
      <c r="E549" s="25">
        <f>E548*5</f>
        <v>0</v>
      </c>
      <c r="G549" s="16" t="s">
        <v>101</v>
      </c>
      <c r="H549" s="25">
        <f>H548*5</f>
        <v>166666.6667</v>
      </c>
      <c r="I549" s="19"/>
    </row>
    <row r="550">
      <c r="A550" s="42"/>
      <c r="I550" s="19"/>
    </row>
    <row r="551">
      <c r="A551" s="42"/>
      <c r="D551" s="28" t="s">
        <v>124</v>
      </c>
      <c r="E551" s="41"/>
      <c r="F551" s="41"/>
      <c r="I551" s="19"/>
    </row>
    <row r="552">
      <c r="A552" s="42"/>
      <c r="D552" s="4" t="s">
        <v>126</v>
      </c>
      <c r="E552" s="25">
        <f t="shared" ref="E552:E554" si="89">H547-E547</f>
        <v>400000</v>
      </c>
      <c r="I552" s="19"/>
    </row>
    <row r="553">
      <c r="A553" s="42"/>
      <c r="D553" s="4" t="s">
        <v>128</v>
      </c>
      <c r="E553" s="25">
        <f t="shared" si="89"/>
        <v>33333.33333</v>
      </c>
      <c r="I553" s="19"/>
    </row>
    <row r="554">
      <c r="A554" s="32"/>
      <c r="D554" s="4" t="s">
        <v>129</v>
      </c>
      <c r="E554" s="25">
        <f t="shared" si="89"/>
        <v>166666.6667</v>
      </c>
      <c r="G554" s="43"/>
      <c r="I554" s="19"/>
    </row>
    <row r="555">
      <c r="A555" s="32"/>
      <c r="D555" s="28" t="s">
        <v>131</v>
      </c>
      <c r="I555" s="19"/>
    </row>
    <row r="556">
      <c r="A556" s="32"/>
      <c r="D556" s="4" t="s">
        <v>132</v>
      </c>
      <c r="E556" s="25">
        <f t="shared" ref="E556:E558" si="90">H547-E540</f>
        <v>363636.3636</v>
      </c>
      <c r="G556" s="28" t="s">
        <v>134</v>
      </c>
      <c r="I556" s="19"/>
    </row>
    <row r="557">
      <c r="A557" s="32"/>
      <c r="D557" s="4" t="s">
        <v>133</v>
      </c>
      <c r="E557" s="25">
        <f t="shared" si="90"/>
        <v>30303.0303</v>
      </c>
      <c r="G557" s="35" t="s">
        <v>137</v>
      </c>
      <c r="H557" s="25">
        <f>E542/H545</f>
        <v>0.006313131313</v>
      </c>
      <c r="I557" s="19"/>
    </row>
    <row r="558">
      <c r="A558" s="44"/>
      <c r="B558" s="45"/>
      <c r="C558" s="45"/>
      <c r="D558" s="47" t="s">
        <v>136</v>
      </c>
      <c r="E558" s="45">
        <f t="shared" si="90"/>
        <v>151515.1515</v>
      </c>
      <c r="F558" s="45"/>
      <c r="G558" s="48" t="s">
        <v>139</v>
      </c>
      <c r="H558" s="45">
        <f>H532-H557</f>
        <v>4.160353535</v>
      </c>
      <c r="I558" s="50"/>
    </row>
    <row r="560">
      <c r="A560" s="6" t="s">
        <v>70</v>
      </c>
      <c r="B560" s="34" t="s">
        <v>169</v>
      </c>
      <c r="C560" s="10"/>
      <c r="D560" s="9" t="s">
        <v>71</v>
      </c>
      <c r="E560" s="10"/>
      <c r="F560" s="10"/>
      <c r="G560" s="10"/>
      <c r="H560" s="10"/>
      <c r="I560" s="11"/>
    </row>
    <row r="561">
      <c r="A561" s="12" t="s">
        <v>72</v>
      </c>
      <c r="B561" s="13">
        <v>1000000.0</v>
      </c>
      <c r="D561" s="56" t="str">
        <f>B560</f>
        <v>Test Date</v>
      </c>
      <c r="E561" s="16" t="s">
        <v>73</v>
      </c>
      <c r="F561" s="17"/>
      <c r="G561" s="16" t="s">
        <v>74</v>
      </c>
      <c r="H561" s="16" t="s">
        <v>75</v>
      </c>
      <c r="I561" s="57" t="s">
        <v>76</v>
      </c>
    </row>
    <row r="562">
      <c r="A562" s="12" t="s">
        <v>78</v>
      </c>
      <c r="B562" s="13">
        <v>0.0</v>
      </c>
      <c r="D562" s="20" t="s">
        <v>72</v>
      </c>
      <c r="E562" s="21">
        <f t="shared" ref="E562:E563" si="91">B561</f>
        <v>1000000</v>
      </c>
      <c r="F562" s="20" t="s">
        <v>79</v>
      </c>
      <c r="G562" s="21">
        <f t="shared" ref="G562:G563" si="92">B564</f>
        <v>4</v>
      </c>
      <c r="H562" s="4">
        <f>G562+(G563/60)</f>
        <v>4.166666667</v>
      </c>
      <c r="I562" s="58">
        <f>B569</f>
        <v>6</v>
      </c>
    </row>
    <row r="563">
      <c r="A563" s="12" t="s">
        <v>81</v>
      </c>
      <c r="B563" s="14"/>
      <c r="D563" s="20" t="s">
        <v>78</v>
      </c>
      <c r="E563" s="21">
        <f t="shared" si="91"/>
        <v>0</v>
      </c>
      <c r="F563" s="20" t="s">
        <v>82</v>
      </c>
      <c r="G563" s="21">
        <f t="shared" si="92"/>
        <v>10</v>
      </c>
      <c r="I563" s="19"/>
    </row>
    <row r="564">
      <c r="A564" s="24" t="s">
        <v>79</v>
      </c>
      <c r="B564" s="13">
        <v>4.0</v>
      </c>
      <c r="D564" s="20" t="s">
        <v>84</v>
      </c>
      <c r="E564" s="25">
        <f>E562-E563</f>
        <v>1000000</v>
      </c>
      <c r="F564" s="26"/>
      <c r="G564" s="16" t="s">
        <v>85</v>
      </c>
      <c r="H564" s="16" t="s">
        <v>86</v>
      </c>
      <c r="I564" s="57" t="s">
        <v>87</v>
      </c>
    </row>
    <row r="565">
      <c r="A565" s="24" t="s">
        <v>89</v>
      </c>
      <c r="B565" s="13">
        <v>10.0</v>
      </c>
      <c r="D565" s="51"/>
      <c r="F565" s="20" t="s">
        <v>79</v>
      </c>
      <c r="G565" s="21">
        <f t="shared" ref="G565:G566" si="93">B567</f>
        <v>4</v>
      </c>
      <c r="H565" s="25">
        <f>G565+(G566/60)</f>
        <v>4.166666667</v>
      </c>
      <c r="I565" s="19">
        <f>H562-H565</f>
        <v>0</v>
      </c>
    </row>
    <row r="566">
      <c r="A566" s="12" t="s">
        <v>85</v>
      </c>
      <c r="B566" s="27"/>
      <c r="D566" s="51"/>
      <c r="F566" s="20" t="s">
        <v>82</v>
      </c>
      <c r="G566" s="21">
        <f t="shared" si="93"/>
        <v>10</v>
      </c>
      <c r="I566" s="19"/>
    </row>
    <row r="567">
      <c r="A567" s="24" t="s">
        <v>79</v>
      </c>
      <c r="B567" s="13">
        <v>4.0</v>
      </c>
      <c r="D567" s="16" t="s">
        <v>170</v>
      </c>
      <c r="I567" s="19"/>
    </row>
    <row r="568">
      <c r="A568" s="24" t="s">
        <v>89</v>
      </c>
      <c r="B568" s="13">
        <v>10.0</v>
      </c>
      <c r="D568" s="16" t="s">
        <v>92</v>
      </c>
      <c r="E568" s="25">
        <f>E562/H572</f>
        <v>218181.8182</v>
      </c>
      <c r="I568" s="19"/>
    </row>
    <row r="569">
      <c r="A569" s="12" t="s">
        <v>98</v>
      </c>
      <c r="B569" s="13">
        <v>6.0</v>
      </c>
      <c r="D569" s="16" t="s">
        <v>94</v>
      </c>
      <c r="E569" s="25">
        <f>E562/I562</f>
        <v>166666.6667</v>
      </c>
      <c r="I569" s="19"/>
    </row>
    <row r="570">
      <c r="A570" s="32"/>
      <c r="D570" s="16" t="s">
        <v>96</v>
      </c>
      <c r="E570" s="25">
        <f>E568/I562</f>
        <v>36363.63636</v>
      </c>
      <c r="F570" s="4"/>
      <c r="G570" s="4"/>
      <c r="H570" s="4"/>
      <c r="I570" s="59"/>
    </row>
    <row r="571">
      <c r="A571" s="60"/>
      <c r="D571" s="16" t="s">
        <v>99</v>
      </c>
      <c r="E571" s="25">
        <f>E570/12</f>
        <v>3030.30303</v>
      </c>
      <c r="F571" s="4" t="s">
        <v>171</v>
      </c>
      <c r="I571" s="59"/>
    </row>
    <row r="572">
      <c r="A572" s="61"/>
      <c r="D572" s="16" t="s">
        <v>101</v>
      </c>
      <c r="E572" s="25">
        <f>E571*5</f>
        <v>15151.51515</v>
      </c>
      <c r="F572" s="4" t="s">
        <v>171</v>
      </c>
      <c r="G572" s="35" t="s">
        <v>105</v>
      </c>
      <c r="H572" s="25">
        <f>H562+(25/60)</f>
        <v>4.583333333</v>
      </c>
      <c r="I572" s="19"/>
    </row>
    <row r="573">
      <c r="A573" s="61"/>
      <c r="D573" s="17"/>
      <c r="G573" s="35" t="s">
        <v>108</v>
      </c>
      <c r="H573" s="25">
        <f>I565+(25/60)</f>
        <v>0.4166666667</v>
      </c>
      <c r="I573" s="19"/>
    </row>
    <row r="574">
      <c r="A574" s="61"/>
      <c r="D574" s="16" t="s">
        <v>111</v>
      </c>
      <c r="G574" s="16" t="s">
        <v>112</v>
      </c>
      <c r="I574" s="19"/>
    </row>
    <row r="575">
      <c r="A575" s="61"/>
      <c r="D575" s="16" t="s">
        <v>92</v>
      </c>
      <c r="E575" s="25">
        <f>E563/H565</f>
        <v>0</v>
      </c>
      <c r="G575" s="16" t="s">
        <v>92</v>
      </c>
      <c r="H575" s="25">
        <f>E564/H573</f>
        <v>2400000</v>
      </c>
      <c r="I575" s="19"/>
    </row>
    <row r="576">
      <c r="A576" s="61"/>
      <c r="D576" s="16" t="s">
        <v>94</v>
      </c>
      <c r="E576" s="25">
        <f>E563/I562</f>
        <v>0</v>
      </c>
      <c r="G576" s="16" t="s">
        <v>94</v>
      </c>
      <c r="H576" s="25">
        <f>E564/I562</f>
        <v>166666.6667</v>
      </c>
      <c r="I576" s="19"/>
    </row>
    <row r="577">
      <c r="A577" s="60"/>
      <c r="D577" s="16" t="s">
        <v>96</v>
      </c>
      <c r="E577" s="25">
        <f>E576/H565</f>
        <v>0</v>
      </c>
      <c r="G577" s="16" t="s">
        <v>96</v>
      </c>
      <c r="H577" s="25">
        <f>H576/H573</f>
        <v>400000</v>
      </c>
      <c r="I577" s="19"/>
    </row>
    <row r="578">
      <c r="A578" s="32"/>
      <c r="D578" s="16" t="s">
        <v>99</v>
      </c>
      <c r="E578" s="25">
        <f>E577/12</f>
        <v>0</v>
      </c>
      <c r="G578" s="16" t="s">
        <v>99</v>
      </c>
      <c r="H578" s="25">
        <f>H577/12</f>
        <v>33333.33333</v>
      </c>
      <c r="I578" s="19"/>
    </row>
    <row r="579">
      <c r="A579" s="42"/>
      <c r="D579" s="16" t="s">
        <v>101</v>
      </c>
      <c r="E579" s="25">
        <f>E578*5</f>
        <v>0</v>
      </c>
      <c r="G579" s="16" t="s">
        <v>101</v>
      </c>
      <c r="H579" s="25">
        <f>H578*5</f>
        <v>166666.6667</v>
      </c>
      <c r="I579" s="19"/>
    </row>
    <row r="580">
      <c r="A580" s="42"/>
      <c r="I580" s="19"/>
    </row>
    <row r="581">
      <c r="A581" s="42"/>
      <c r="D581" s="28" t="s">
        <v>124</v>
      </c>
      <c r="E581" s="41"/>
      <c r="F581" s="41"/>
      <c r="I581" s="19"/>
    </row>
    <row r="582">
      <c r="A582" s="42"/>
      <c r="D582" s="4" t="s">
        <v>126</v>
      </c>
      <c r="E582" s="25">
        <f t="shared" ref="E582:E584" si="94">H577-E577</f>
        <v>400000</v>
      </c>
      <c r="I582" s="19"/>
    </row>
    <row r="583">
      <c r="A583" s="42"/>
      <c r="D583" s="4" t="s">
        <v>128</v>
      </c>
      <c r="E583" s="25">
        <f t="shared" si="94"/>
        <v>33333.33333</v>
      </c>
      <c r="I583" s="19"/>
    </row>
    <row r="584">
      <c r="A584" s="32"/>
      <c r="D584" s="4" t="s">
        <v>129</v>
      </c>
      <c r="E584" s="25">
        <f t="shared" si="94"/>
        <v>166666.6667</v>
      </c>
      <c r="G584" s="43"/>
      <c r="I584" s="19"/>
    </row>
    <row r="585">
      <c r="A585" s="32"/>
      <c r="D585" s="28" t="s">
        <v>131</v>
      </c>
      <c r="I585" s="19"/>
    </row>
    <row r="586">
      <c r="A586" s="32"/>
      <c r="D586" s="4" t="s">
        <v>132</v>
      </c>
      <c r="E586" s="25">
        <f t="shared" ref="E586:E588" si="95">H577-E570</f>
        <v>363636.3636</v>
      </c>
      <c r="G586" s="28" t="s">
        <v>134</v>
      </c>
      <c r="I586" s="19"/>
    </row>
    <row r="587">
      <c r="A587" s="32"/>
      <c r="D587" s="4" t="s">
        <v>133</v>
      </c>
      <c r="E587" s="25">
        <f t="shared" si="95"/>
        <v>30303.0303</v>
      </c>
      <c r="G587" s="35" t="s">
        <v>137</v>
      </c>
      <c r="H587" s="25">
        <f>E572/H575</f>
        <v>0.006313131313</v>
      </c>
      <c r="I587" s="19"/>
    </row>
    <row r="588">
      <c r="A588" s="44"/>
      <c r="B588" s="45"/>
      <c r="C588" s="45"/>
      <c r="D588" s="47" t="s">
        <v>136</v>
      </c>
      <c r="E588" s="45">
        <f t="shared" si="95"/>
        <v>151515.1515</v>
      </c>
      <c r="F588" s="45"/>
      <c r="G588" s="48" t="s">
        <v>139</v>
      </c>
      <c r="H588" s="45">
        <f>H562-H587</f>
        <v>4.160353535</v>
      </c>
      <c r="I588" s="50"/>
    </row>
    <row r="590">
      <c r="A590" s="6" t="s">
        <v>70</v>
      </c>
      <c r="B590" s="34" t="s">
        <v>169</v>
      </c>
      <c r="C590" s="10"/>
      <c r="D590" s="9" t="s">
        <v>71</v>
      </c>
      <c r="E590" s="10"/>
      <c r="F590" s="10"/>
      <c r="G590" s="10"/>
      <c r="H590" s="10"/>
      <c r="I590" s="11"/>
    </row>
    <row r="591">
      <c r="A591" s="12" t="s">
        <v>72</v>
      </c>
      <c r="B591" s="13">
        <v>1000000.0</v>
      </c>
      <c r="D591" s="56" t="str">
        <f>B590</f>
        <v>Test Date</v>
      </c>
      <c r="E591" s="16" t="s">
        <v>73</v>
      </c>
      <c r="F591" s="17"/>
      <c r="G591" s="16" t="s">
        <v>74</v>
      </c>
      <c r="H591" s="16" t="s">
        <v>75</v>
      </c>
      <c r="I591" s="57" t="s">
        <v>76</v>
      </c>
    </row>
    <row r="592">
      <c r="A592" s="12" t="s">
        <v>78</v>
      </c>
      <c r="B592" s="13">
        <v>0.0</v>
      </c>
      <c r="D592" s="20" t="s">
        <v>72</v>
      </c>
      <c r="E592" s="21">
        <f t="shared" ref="E592:E593" si="96">B591</f>
        <v>1000000</v>
      </c>
      <c r="F592" s="20" t="s">
        <v>79</v>
      </c>
      <c r="G592" s="21">
        <f t="shared" ref="G592:G593" si="97">B594</f>
        <v>4</v>
      </c>
      <c r="H592" s="4">
        <f>G592+(G593/60)</f>
        <v>4.166666667</v>
      </c>
      <c r="I592" s="58">
        <f>B599</f>
        <v>6</v>
      </c>
    </row>
    <row r="593">
      <c r="A593" s="12" t="s">
        <v>81</v>
      </c>
      <c r="B593" s="14"/>
      <c r="D593" s="20" t="s">
        <v>78</v>
      </c>
      <c r="E593" s="21">
        <f t="shared" si="96"/>
        <v>0</v>
      </c>
      <c r="F593" s="20" t="s">
        <v>82</v>
      </c>
      <c r="G593" s="21">
        <f t="shared" si="97"/>
        <v>10</v>
      </c>
      <c r="I593" s="19"/>
    </row>
    <row r="594">
      <c r="A594" s="24" t="s">
        <v>79</v>
      </c>
      <c r="B594" s="13">
        <v>4.0</v>
      </c>
      <c r="D594" s="20" t="s">
        <v>84</v>
      </c>
      <c r="E594" s="25">
        <f>E592-E593</f>
        <v>1000000</v>
      </c>
      <c r="F594" s="26"/>
      <c r="G594" s="16" t="s">
        <v>85</v>
      </c>
      <c r="H594" s="16" t="s">
        <v>86</v>
      </c>
      <c r="I594" s="57" t="s">
        <v>87</v>
      </c>
    </row>
    <row r="595">
      <c r="A595" s="24" t="s">
        <v>89</v>
      </c>
      <c r="B595" s="13">
        <v>10.0</v>
      </c>
      <c r="D595" s="51"/>
      <c r="F595" s="20" t="s">
        <v>79</v>
      </c>
      <c r="G595" s="21">
        <f t="shared" ref="G595:G596" si="98">B597</f>
        <v>4</v>
      </c>
      <c r="H595" s="25">
        <f>G595+(G596/60)</f>
        <v>4.166666667</v>
      </c>
      <c r="I595" s="19">
        <f>H592-H595</f>
        <v>0</v>
      </c>
    </row>
    <row r="596">
      <c r="A596" s="12" t="s">
        <v>85</v>
      </c>
      <c r="B596" s="27"/>
      <c r="D596" s="51"/>
      <c r="F596" s="20" t="s">
        <v>82</v>
      </c>
      <c r="G596" s="21">
        <f t="shared" si="98"/>
        <v>10</v>
      </c>
      <c r="I596" s="19"/>
    </row>
    <row r="597">
      <c r="A597" s="24" t="s">
        <v>79</v>
      </c>
      <c r="B597" s="13">
        <v>4.0</v>
      </c>
      <c r="D597" s="16" t="s">
        <v>170</v>
      </c>
      <c r="I597" s="19"/>
    </row>
    <row r="598">
      <c r="A598" s="24" t="s">
        <v>89</v>
      </c>
      <c r="B598" s="13">
        <v>10.0</v>
      </c>
      <c r="D598" s="16" t="s">
        <v>92</v>
      </c>
      <c r="E598" s="25">
        <f>E592/H602</f>
        <v>218181.8182</v>
      </c>
      <c r="I598" s="19"/>
    </row>
    <row r="599">
      <c r="A599" s="12" t="s">
        <v>98</v>
      </c>
      <c r="B599" s="13">
        <v>6.0</v>
      </c>
      <c r="D599" s="16" t="s">
        <v>94</v>
      </c>
      <c r="E599" s="25">
        <f>E592/I592</f>
        <v>166666.6667</v>
      </c>
      <c r="I599" s="19"/>
    </row>
    <row r="600">
      <c r="A600" s="32"/>
      <c r="D600" s="16" t="s">
        <v>96</v>
      </c>
      <c r="E600" s="25">
        <f>E598/I592</f>
        <v>36363.63636</v>
      </c>
      <c r="F600" s="4"/>
      <c r="G600" s="4"/>
      <c r="H600" s="4"/>
      <c r="I600" s="59"/>
    </row>
    <row r="601">
      <c r="A601" s="60"/>
      <c r="D601" s="16" t="s">
        <v>99</v>
      </c>
      <c r="E601" s="25">
        <f>E600/12</f>
        <v>3030.30303</v>
      </c>
      <c r="F601" s="4" t="s">
        <v>171</v>
      </c>
      <c r="I601" s="59"/>
    </row>
    <row r="602">
      <c r="A602" s="61"/>
      <c r="D602" s="16" t="s">
        <v>101</v>
      </c>
      <c r="E602" s="25">
        <f>E601*5</f>
        <v>15151.51515</v>
      </c>
      <c r="F602" s="4" t="s">
        <v>171</v>
      </c>
      <c r="G602" s="35" t="s">
        <v>105</v>
      </c>
      <c r="H602" s="25">
        <f>H592+(25/60)</f>
        <v>4.583333333</v>
      </c>
      <c r="I602" s="19"/>
    </row>
    <row r="603">
      <c r="A603" s="61"/>
      <c r="D603" s="17"/>
      <c r="G603" s="35" t="s">
        <v>108</v>
      </c>
      <c r="H603" s="25">
        <f>I595+(25/60)</f>
        <v>0.4166666667</v>
      </c>
      <c r="I603" s="19"/>
    </row>
    <row r="604">
      <c r="A604" s="61"/>
      <c r="D604" s="16" t="s">
        <v>111</v>
      </c>
      <c r="G604" s="16" t="s">
        <v>112</v>
      </c>
      <c r="I604" s="19"/>
    </row>
    <row r="605">
      <c r="A605" s="61"/>
      <c r="D605" s="16" t="s">
        <v>92</v>
      </c>
      <c r="E605" s="25">
        <f>E593/H595</f>
        <v>0</v>
      </c>
      <c r="G605" s="16" t="s">
        <v>92</v>
      </c>
      <c r="H605" s="25">
        <f>E594/H603</f>
        <v>2400000</v>
      </c>
      <c r="I605" s="19"/>
    </row>
    <row r="606">
      <c r="A606" s="61"/>
      <c r="D606" s="16" t="s">
        <v>94</v>
      </c>
      <c r="E606" s="25">
        <f>E593/I592</f>
        <v>0</v>
      </c>
      <c r="G606" s="16" t="s">
        <v>94</v>
      </c>
      <c r="H606" s="25">
        <f>E594/I592</f>
        <v>166666.6667</v>
      </c>
      <c r="I606" s="19"/>
    </row>
    <row r="607">
      <c r="A607" s="60"/>
      <c r="D607" s="16" t="s">
        <v>96</v>
      </c>
      <c r="E607" s="25">
        <f>E606/H595</f>
        <v>0</v>
      </c>
      <c r="G607" s="16" t="s">
        <v>96</v>
      </c>
      <c r="H607" s="25">
        <f>H606/H603</f>
        <v>400000</v>
      </c>
      <c r="I607" s="19"/>
    </row>
    <row r="608">
      <c r="A608" s="32"/>
      <c r="D608" s="16" t="s">
        <v>99</v>
      </c>
      <c r="E608" s="25">
        <f>E607/12</f>
        <v>0</v>
      </c>
      <c r="G608" s="16" t="s">
        <v>99</v>
      </c>
      <c r="H608" s="25">
        <f>H607/12</f>
        <v>33333.33333</v>
      </c>
      <c r="I608" s="19"/>
    </row>
    <row r="609">
      <c r="A609" s="42"/>
      <c r="D609" s="16" t="s">
        <v>101</v>
      </c>
      <c r="E609" s="25">
        <f>E608*5</f>
        <v>0</v>
      </c>
      <c r="G609" s="16" t="s">
        <v>101</v>
      </c>
      <c r="H609" s="25">
        <f>H608*5</f>
        <v>166666.6667</v>
      </c>
      <c r="I609" s="19"/>
    </row>
    <row r="610">
      <c r="A610" s="42"/>
      <c r="I610" s="19"/>
    </row>
    <row r="611">
      <c r="A611" s="42"/>
      <c r="D611" s="28" t="s">
        <v>124</v>
      </c>
      <c r="E611" s="41"/>
      <c r="F611" s="41"/>
      <c r="I611" s="19"/>
    </row>
    <row r="612">
      <c r="A612" s="42"/>
      <c r="D612" s="4" t="s">
        <v>126</v>
      </c>
      <c r="E612" s="25">
        <f t="shared" ref="E612:E614" si="99">H607-E607</f>
        <v>400000</v>
      </c>
      <c r="I612" s="19"/>
    </row>
    <row r="613">
      <c r="A613" s="42"/>
      <c r="D613" s="4" t="s">
        <v>128</v>
      </c>
      <c r="E613" s="25">
        <f t="shared" si="99"/>
        <v>33333.33333</v>
      </c>
      <c r="I613" s="19"/>
    </row>
    <row r="614">
      <c r="A614" s="32"/>
      <c r="D614" s="4" t="s">
        <v>129</v>
      </c>
      <c r="E614" s="25">
        <f t="shared" si="99"/>
        <v>166666.6667</v>
      </c>
      <c r="G614" s="43"/>
      <c r="I614" s="19"/>
    </row>
    <row r="615">
      <c r="A615" s="32"/>
      <c r="D615" s="28" t="s">
        <v>131</v>
      </c>
      <c r="I615" s="19"/>
    </row>
    <row r="616">
      <c r="A616" s="32"/>
      <c r="D616" s="4" t="s">
        <v>132</v>
      </c>
      <c r="E616" s="25">
        <f t="shared" ref="E616:E618" si="100">H607-E600</f>
        <v>363636.3636</v>
      </c>
      <c r="G616" s="28" t="s">
        <v>134</v>
      </c>
      <c r="I616" s="19"/>
    </row>
    <row r="617">
      <c r="A617" s="32"/>
      <c r="D617" s="4" t="s">
        <v>133</v>
      </c>
      <c r="E617" s="25">
        <f t="shared" si="100"/>
        <v>30303.0303</v>
      </c>
      <c r="G617" s="35" t="s">
        <v>137</v>
      </c>
      <c r="H617" s="25">
        <f>E602/H605</f>
        <v>0.006313131313</v>
      </c>
      <c r="I617" s="19"/>
    </row>
    <row r="618">
      <c r="A618" s="44"/>
      <c r="B618" s="45"/>
      <c r="C618" s="45"/>
      <c r="D618" s="47" t="s">
        <v>136</v>
      </c>
      <c r="E618" s="45">
        <f t="shared" si="100"/>
        <v>151515.1515</v>
      </c>
      <c r="F618" s="45"/>
      <c r="G618" s="48" t="s">
        <v>139</v>
      </c>
      <c r="H618" s="45">
        <f>H592-H617</f>
        <v>4.160353535</v>
      </c>
      <c r="I618" s="50"/>
    </row>
    <row r="620">
      <c r="A620" s="6" t="s">
        <v>70</v>
      </c>
      <c r="B620" s="34" t="s">
        <v>169</v>
      </c>
      <c r="C620" s="10"/>
      <c r="D620" s="9" t="s">
        <v>71</v>
      </c>
      <c r="E620" s="10"/>
      <c r="F620" s="10"/>
      <c r="G620" s="10"/>
      <c r="H620" s="10"/>
      <c r="I620" s="11"/>
    </row>
    <row r="621">
      <c r="A621" s="12" t="s">
        <v>72</v>
      </c>
      <c r="B621" s="13">
        <v>1000000.0</v>
      </c>
      <c r="D621" s="56" t="str">
        <f>B620</f>
        <v>Test Date</v>
      </c>
      <c r="E621" s="16" t="s">
        <v>73</v>
      </c>
      <c r="F621" s="17"/>
      <c r="G621" s="16" t="s">
        <v>74</v>
      </c>
      <c r="H621" s="16" t="s">
        <v>75</v>
      </c>
      <c r="I621" s="57" t="s">
        <v>76</v>
      </c>
    </row>
    <row r="622">
      <c r="A622" s="12" t="s">
        <v>78</v>
      </c>
      <c r="B622" s="13">
        <v>0.0</v>
      </c>
      <c r="D622" s="20" t="s">
        <v>72</v>
      </c>
      <c r="E622" s="21">
        <f t="shared" ref="E622:E623" si="101">B621</f>
        <v>1000000</v>
      </c>
      <c r="F622" s="20" t="s">
        <v>79</v>
      </c>
      <c r="G622" s="21">
        <f t="shared" ref="G622:G623" si="102">B624</f>
        <v>4</v>
      </c>
      <c r="H622" s="4">
        <f>G622+(G623/60)</f>
        <v>4.166666667</v>
      </c>
      <c r="I622" s="58">
        <f>B629</f>
        <v>6</v>
      </c>
    </row>
    <row r="623">
      <c r="A623" s="12" t="s">
        <v>81</v>
      </c>
      <c r="B623" s="14"/>
      <c r="D623" s="20" t="s">
        <v>78</v>
      </c>
      <c r="E623" s="21">
        <f t="shared" si="101"/>
        <v>0</v>
      </c>
      <c r="F623" s="20" t="s">
        <v>82</v>
      </c>
      <c r="G623" s="21">
        <f t="shared" si="102"/>
        <v>10</v>
      </c>
      <c r="I623" s="19"/>
    </row>
    <row r="624">
      <c r="A624" s="24" t="s">
        <v>79</v>
      </c>
      <c r="B624" s="13">
        <v>4.0</v>
      </c>
      <c r="D624" s="20" t="s">
        <v>84</v>
      </c>
      <c r="E624" s="25">
        <f>E622-E623</f>
        <v>1000000</v>
      </c>
      <c r="F624" s="26"/>
      <c r="G624" s="16" t="s">
        <v>85</v>
      </c>
      <c r="H624" s="16" t="s">
        <v>86</v>
      </c>
      <c r="I624" s="57" t="s">
        <v>87</v>
      </c>
    </row>
    <row r="625">
      <c r="A625" s="24" t="s">
        <v>89</v>
      </c>
      <c r="B625" s="13">
        <v>10.0</v>
      </c>
      <c r="D625" s="51"/>
      <c r="F625" s="20" t="s">
        <v>79</v>
      </c>
      <c r="G625" s="21">
        <f t="shared" ref="G625:G626" si="103">B627</f>
        <v>4</v>
      </c>
      <c r="H625" s="25">
        <f>G625+(G626/60)</f>
        <v>4.166666667</v>
      </c>
      <c r="I625" s="19">
        <f>H622-H625</f>
        <v>0</v>
      </c>
    </row>
    <row r="626">
      <c r="A626" s="12" t="s">
        <v>85</v>
      </c>
      <c r="B626" s="27"/>
      <c r="D626" s="51"/>
      <c r="F626" s="20" t="s">
        <v>82</v>
      </c>
      <c r="G626" s="21">
        <f t="shared" si="103"/>
        <v>10</v>
      </c>
      <c r="I626" s="19"/>
    </row>
    <row r="627">
      <c r="A627" s="24" t="s">
        <v>79</v>
      </c>
      <c r="B627" s="13">
        <v>4.0</v>
      </c>
      <c r="D627" s="16" t="s">
        <v>170</v>
      </c>
      <c r="I627" s="19"/>
    </row>
    <row r="628">
      <c r="A628" s="24" t="s">
        <v>89</v>
      </c>
      <c r="B628" s="13">
        <v>10.0</v>
      </c>
      <c r="D628" s="16" t="s">
        <v>92</v>
      </c>
      <c r="E628" s="25">
        <f>E622/H632</f>
        <v>218181.8182</v>
      </c>
      <c r="I628" s="19"/>
    </row>
    <row r="629">
      <c r="A629" s="12" t="s">
        <v>98</v>
      </c>
      <c r="B629" s="13">
        <v>6.0</v>
      </c>
      <c r="D629" s="16" t="s">
        <v>94</v>
      </c>
      <c r="E629" s="25">
        <f>E622/I622</f>
        <v>166666.6667</v>
      </c>
      <c r="I629" s="19"/>
    </row>
    <row r="630">
      <c r="A630" s="32"/>
      <c r="D630" s="16" t="s">
        <v>96</v>
      </c>
      <c r="E630" s="25">
        <f>E628/I622</f>
        <v>36363.63636</v>
      </c>
      <c r="F630" s="4"/>
      <c r="G630" s="4"/>
      <c r="H630" s="4"/>
      <c r="I630" s="59"/>
    </row>
    <row r="631">
      <c r="A631" s="60"/>
      <c r="D631" s="16" t="s">
        <v>99</v>
      </c>
      <c r="E631" s="25">
        <f>E630/12</f>
        <v>3030.30303</v>
      </c>
      <c r="F631" s="4" t="s">
        <v>171</v>
      </c>
      <c r="I631" s="59"/>
    </row>
    <row r="632">
      <c r="A632" s="61"/>
      <c r="D632" s="16" t="s">
        <v>101</v>
      </c>
      <c r="E632" s="25">
        <f>E631*5</f>
        <v>15151.51515</v>
      </c>
      <c r="F632" s="4" t="s">
        <v>171</v>
      </c>
      <c r="G632" s="35" t="s">
        <v>105</v>
      </c>
      <c r="H632" s="25">
        <f>H622+(25/60)</f>
        <v>4.583333333</v>
      </c>
      <c r="I632" s="19"/>
    </row>
    <row r="633">
      <c r="A633" s="61"/>
      <c r="D633" s="17"/>
      <c r="G633" s="35" t="s">
        <v>108</v>
      </c>
      <c r="H633" s="25">
        <f>I625+(25/60)</f>
        <v>0.4166666667</v>
      </c>
      <c r="I633" s="19"/>
    </row>
    <row r="634">
      <c r="A634" s="61"/>
      <c r="D634" s="16" t="s">
        <v>111</v>
      </c>
      <c r="G634" s="16" t="s">
        <v>112</v>
      </c>
      <c r="I634" s="19"/>
    </row>
    <row r="635">
      <c r="A635" s="61"/>
      <c r="D635" s="16" t="s">
        <v>92</v>
      </c>
      <c r="E635" s="25">
        <f>E623/H625</f>
        <v>0</v>
      </c>
      <c r="G635" s="16" t="s">
        <v>92</v>
      </c>
      <c r="H635" s="25">
        <f>E624/H633</f>
        <v>2400000</v>
      </c>
      <c r="I635" s="19"/>
    </row>
    <row r="636">
      <c r="A636" s="61"/>
      <c r="D636" s="16" t="s">
        <v>94</v>
      </c>
      <c r="E636" s="25">
        <f>E623/I622</f>
        <v>0</v>
      </c>
      <c r="G636" s="16" t="s">
        <v>94</v>
      </c>
      <c r="H636" s="25">
        <f>E624/I622</f>
        <v>166666.6667</v>
      </c>
      <c r="I636" s="19"/>
    </row>
    <row r="637">
      <c r="A637" s="60"/>
      <c r="D637" s="16" t="s">
        <v>96</v>
      </c>
      <c r="E637" s="25">
        <f>E636/H625</f>
        <v>0</v>
      </c>
      <c r="G637" s="16" t="s">
        <v>96</v>
      </c>
      <c r="H637" s="25">
        <f>H636/H633</f>
        <v>400000</v>
      </c>
      <c r="I637" s="19"/>
    </row>
    <row r="638">
      <c r="A638" s="32"/>
      <c r="D638" s="16" t="s">
        <v>99</v>
      </c>
      <c r="E638" s="25">
        <f>E637/12</f>
        <v>0</v>
      </c>
      <c r="G638" s="16" t="s">
        <v>99</v>
      </c>
      <c r="H638" s="25">
        <f>H637/12</f>
        <v>33333.33333</v>
      </c>
      <c r="I638" s="19"/>
    </row>
    <row r="639">
      <c r="A639" s="42"/>
      <c r="D639" s="16" t="s">
        <v>101</v>
      </c>
      <c r="E639" s="25">
        <f>E638*5</f>
        <v>0</v>
      </c>
      <c r="G639" s="16" t="s">
        <v>101</v>
      </c>
      <c r="H639" s="25">
        <f>H638*5</f>
        <v>166666.6667</v>
      </c>
      <c r="I639" s="19"/>
    </row>
    <row r="640">
      <c r="A640" s="42"/>
      <c r="I640" s="19"/>
    </row>
    <row r="641">
      <c r="A641" s="42"/>
      <c r="D641" s="28" t="s">
        <v>124</v>
      </c>
      <c r="E641" s="41"/>
      <c r="F641" s="41"/>
      <c r="I641" s="19"/>
    </row>
    <row r="642">
      <c r="A642" s="42"/>
      <c r="D642" s="4" t="s">
        <v>126</v>
      </c>
      <c r="E642" s="25">
        <f t="shared" ref="E642:E644" si="104">H637-E637</f>
        <v>400000</v>
      </c>
      <c r="I642" s="19"/>
    </row>
    <row r="643">
      <c r="A643" s="42"/>
      <c r="D643" s="4" t="s">
        <v>128</v>
      </c>
      <c r="E643" s="25">
        <f t="shared" si="104"/>
        <v>33333.33333</v>
      </c>
      <c r="I643" s="19"/>
    </row>
    <row r="644">
      <c r="A644" s="32"/>
      <c r="D644" s="4" t="s">
        <v>129</v>
      </c>
      <c r="E644" s="25">
        <f t="shared" si="104"/>
        <v>166666.6667</v>
      </c>
      <c r="G644" s="43"/>
      <c r="I644" s="19"/>
    </row>
    <row r="645">
      <c r="A645" s="32"/>
      <c r="D645" s="28" t="s">
        <v>131</v>
      </c>
      <c r="I645" s="19"/>
    </row>
    <row r="646">
      <c r="A646" s="32"/>
      <c r="D646" s="4" t="s">
        <v>132</v>
      </c>
      <c r="E646" s="25">
        <f t="shared" ref="E646:E648" si="105">H637-E630</f>
        <v>363636.3636</v>
      </c>
      <c r="G646" s="28" t="s">
        <v>134</v>
      </c>
      <c r="I646" s="19"/>
    </row>
    <row r="647">
      <c r="A647" s="32"/>
      <c r="D647" s="4" t="s">
        <v>133</v>
      </c>
      <c r="E647" s="25">
        <f t="shared" si="105"/>
        <v>30303.0303</v>
      </c>
      <c r="G647" s="35" t="s">
        <v>137</v>
      </c>
      <c r="H647" s="25">
        <f>E632/H635</f>
        <v>0.006313131313</v>
      </c>
      <c r="I647" s="19"/>
    </row>
    <row r="648">
      <c r="A648" s="44"/>
      <c r="B648" s="45"/>
      <c r="C648" s="45"/>
      <c r="D648" s="47" t="s">
        <v>136</v>
      </c>
      <c r="E648" s="45">
        <f t="shared" si="105"/>
        <v>151515.1515</v>
      </c>
      <c r="F648" s="45"/>
      <c r="G648" s="48" t="s">
        <v>139</v>
      </c>
      <c r="H648" s="45">
        <f>H622-H647</f>
        <v>4.160353535</v>
      </c>
      <c r="I648" s="50"/>
    </row>
    <row r="650">
      <c r="A650" s="6" t="s">
        <v>70</v>
      </c>
      <c r="B650" s="34" t="s">
        <v>169</v>
      </c>
      <c r="C650" s="10"/>
      <c r="D650" s="9" t="s">
        <v>71</v>
      </c>
      <c r="E650" s="10"/>
      <c r="F650" s="10"/>
      <c r="G650" s="10"/>
      <c r="H650" s="10"/>
      <c r="I650" s="11"/>
    </row>
    <row r="651">
      <c r="A651" s="12" t="s">
        <v>72</v>
      </c>
      <c r="B651" s="13">
        <v>1000000.0</v>
      </c>
      <c r="D651" s="56" t="str">
        <f>B650</f>
        <v>Test Date</v>
      </c>
      <c r="E651" s="16" t="s">
        <v>73</v>
      </c>
      <c r="F651" s="17"/>
      <c r="G651" s="16" t="s">
        <v>74</v>
      </c>
      <c r="H651" s="16" t="s">
        <v>75</v>
      </c>
      <c r="I651" s="57" t="s">
        <v>76</v>
      </c>
    </row>
    <row r="652">
      <c r="A652" s="12" t="s">
        <v>78</v>
      </c>
      <c r="B652" s="13">
        <v>0.0</v>
      </c>
      <c r="D652" s="20" t="s">
        <v>72</v>
      </c>
      <c r="E652" s="21">
        <f t="shared" ref="E652:E653" si="106">B651</f>
        <v>1000000</v>
      </c>
      <c r="F652" s="20" t="s">
        <v>79</v>
      </c>
      <c r="G652" s="21">
        <f t="shared" ref="G652:G653" si="107">B654</f>
        <v>4</v>
      </c>
      <c r="H652" s="4">
        <f>G652+(G653/60)</f>
        <v>4.166666667</v>
      </c>
      <c r="I652" s="58">
        <f>B659</f>
        <v>6</v>
      </c>
    </row>
    <row r="653">
      <c r="A653" s="12" t="s">
        <v>81</v>
      </c>
      <c r="B653" s="14"/>
      <c r="D653" s="20" t="s">
        <v>78</v>
      </c>
      <c r="E653" s="21">
        <f t="shared" si="106"/>
        <v>0</v>
      </c>
      <c r="F653" s="20" t="s">
        <v>82</v>
      </c>
      <c r="G653" s="21">
        <f t="shared" si="107"/>
        <v>10</v>
      </c>
      <c r="I653" s="19"/>
    </row>
    <row r="654">
      <c r="A654" s="24" t="s">
        <v>79</v>
      </c>
      <c r="B654" s="13">
        <v>4.0</v>
      </c>
      <c r="D654" s="20" t="s">
        <v>84</v>
      </c>
      <c r="E654" s="25">
        <f>E652-E653</f>
        <v>1000000</v>
      </c>
      <c r="F654" s="26"/>
      <c r="G654" s="16" t="s">
        <v>85</v>
      </c>
      <c r="H654" s="16" t="s">
        <v>86</v>
      </c>
      <c r="I654" s="57" t="s">
        <v>87</v>
      </c>
    </row>
    <row r="655">
      <c r="A655" s="24" t="s">
        <v>89</v>
      </c>
      <c r="B655" s="13">
        <v>10.0</v>
      </c>
      <c r="D655" s="51"/>
      <c r="F655" s="20" t="s">
        <v>79</v>
      </c>
      <c r="G655" s="21">
        <f t="shared" ref="G655:G656" si="108">B657</f>
        <v>4</v>
      </c>
      <c r="H655" s="25">
        <f>G655+(G656/60)</f>
        <v>4.166666667</v>
      </c>
      <c r="I655" s="19">
        <f>H652-H655</f>
        <v>0</v>
      </c>
    </row>
    <row r="656">
      <c r="A656" s="12" t="s">
        <v>85</v>
      </c>
      <c r="B656" s="27"/>
      <c r="D656" s="51"/>
      <c r="F656" s="20" t="s">
        <v>82</v>
      </c>
      <c r="G656" s="21">
        <f t="shared" si="108"/>
        <v>10</v>
      </c>
      <c r="I656" s="19"/>
    </row>
    <row r="657">
      <c r="A657" s="24" t="s">
        <v>79</v>
      </c>
      <c r="B657" s="13">
        <v>4.0</v>
      </c>
      <c r="D657" s="16" t="s">
        <v>170</v>
      </c>
      <c r="I657" s="19"/>
    </row>
    <row r="658">
      <c r="A658" s="24" t="s">
        <v>89</v>
      </c>
      <c r="B658" s="13">
        <v>10.0</v>
      </c>
      <c r="D658" s="16" t="s">
        <v>92</v>
      </c>
      <c r="E658" s="25">
        <f>E652/H662</f>
        <v>218181.8182</v>
      </c>
      <c r="I658" s="19"/>
    </row>
    <row r="659">
      <c r="A659" s="12" t="s">
        <v>98</v>
      </c>
      <c r="B659" s="13">
        <v>6.0</v>
      </c>
      <c r="D659" s="16" t="s">
        <v>94</v>
      </c>
      <c r="E659" s="25">
        <f>E652/I652</f>
        <v>166666.6667</v>
      </c>
      <c r="I659" s="19"/>
    </row>
    <row r="660">
      <c r="A660" s="32"/>
      <c r="D660" s="16" t="s">
        <v>96</v>
      </c>
      <c r="E660" s="25">
        <f>E658/I652</f>
        <v>36363.63636</v>
      </c>
      <c r="F660" s="4"/>
      <c r="G660" s="4"/>
      <c r="H660" s="4"/>
      <c r="I660" s="59"/>
    </row>
    <row r="661">
      <c r="A661" s="60"/>
      <c r="D661" s="16" t="s">
        <v>99</v>
      </c>
      <c r="E661" s="25">
        <f>E660/12</f>
        <v>3030.30303</v>
      </c>
      <c r="F661" s="4" t="s">
        <v>171</v>
      </c>
      <c r="I661" s="59"/>
    </row>
    <row r="662">
      <c r="A662" s="61"/>
      <c r="D662" s="16" t="s">
        <v>101</v>
      </c>
      <c r="E662" s="25">
        <f>E661*5</f>
        <v>15151.51515</v>
      </c>
      <c r="F662" s="4" t="s">
        <v>171</v>
      </c>
      <c r="G662" s="35" t="s">
        <v>105</v>
      </c>
      <c r="H662" s="25">
        <f>H652+(25/60)</f>
        <v>4.583333333</v>
      </c>
      <c r="I662" s="19"/>
    </row>
    <row r="663">
      <c r="A663" s="61"/>
      <c r="D663" s="17"/>
      <c r="G663" s="35" t="s">
        <v>108</v>
      </c>
      <c r="H663" s="25">
        <f>I655+(25/60)</f>
        <v>0.4166666667</v>
      </c>
      <c r="I663" s="19"/>
    </row>
    <row r="664">
      <c r="A664" s="61"/>
      <c r="D664" s="16" t="s">
        <v>111</v>
      </c>
      <c r="G664" s="16" t="s">
        <v>112</v>
      </c>
      <c r="I664" s="19"/>
    </row>
    <row r="665">
      <c r="A665" s="61"/>
      <c r="D665" s="16" t="s">
        <v>92</v>
      </c>
      <c r="E665" s="25">
        <f>E653/H655</f>
        <v>0</v>
      </c>
      <c r="G665" s="16" t="s">
        <v>92</v>
      </c>
      <c r="H665" s="25">
        <f>E654/H663</f>
        <v>2400000</v>
      </c>
      <c r="I665" s="19"/>
    </row>
    <row r="666">
      <c r="A666" s="61"/>
      <c r="D666" s="16" t="s">
        <v>94</v>
      </c>
      <c r="E666" s="25">
        <f>E653/I652</f>
        <v>0</v>
      </c>
      <c r="G666" s="16" t="s">
        <v>94</v>
      </c>
      <c r="H666" s="25">
        <f>E654/I652</f>
        <v>166666.6667</v>
      </c>
      <c r="I666" s="19"/>
    </row>
    <row r="667">
      <c r="A667" s="60"/>
      <c r="D667" s="16" t="s">
        <v>96</v>
      </c>
      <c r="E667" s="25">
        <f>E666/H655</f>
        <v>0</v>
      </c>
      <c r="G667" s="16" t="s">
        <v>96</v>
      </c>
      <c r="H667" s="25">
        <f>H666/H663</f>
        <v>400000</v>
      </c>
      <c r="I667" s="19"/>
    </row>
    <row r="668">
      <c r="A668" s="32"/>
      <c r="D668" s="16" t="s">
        <v>99</v>
      </c>
      <c r="E668" s="25">
        <f>E667/12</f>
        <v>0</v>
      </c>
      <c r="G668" s="16" t="s">
        <v>99</v>
      </c>
      <c r="H668" s="25">
        <f>H667/12</f>
        <v>33333.33333</v>
      </c>
      <c r="I668" s="19"/>
    </row>
    <row r="669">
      <c r="A669" s="42"/>
      <c r="D669" s="16" t="s">
        <v>101</v>
      </c>
      <c r="E669" s="25">
        <f>E668*5</f>
        <v>0</v>
      </c>
      <c r="G669" s="16" t="s">
        <v>101</v>
      </c>
      <c r="H669" s="25">
        <f>H668*5</f>
        <v>166666.6667</v>
      </c>
      <c r="I669" s="19"/>
    </row>
    <row r="670">
      <c r="A670" s="42"/>
      <c r="I670" s="19"/>
    </row>
    <row r="671">
      <c r="A671" s="42"/>
      <c r="D671" s="28" t="s">
        <v>124</v>
      </c>
      <c r="E671" s="41"/>
      <c r="F671" s="41"/>
      <c r="I671" s="19"/>
    </row>
    <row r="672">
      <c r="A672" s="42"/>
      <c r="D672" s="4" t="s">
        <v>126</v>
      </c>
      <c r="E672" s="25">
        <f t="shared" ref="E672:E674" si="109">H667-E667</f>
        <v>400000</v>
      </c>
      <c r="I672" s="19"/>
    </row>
    <row r="673">
      <c r="A673" s="42"/>
      <c r="D673" s="4" t="s">
        <v>128</v>
      </c>
      <c r="E673" s="25">
        <f t="shared" si="109"/>
        <v>33333.33333</v>
      </c>
      <c r="I673" s="19"/>
    </row>
    <row r="674">
      <c r="A674" s="32"/>
      <c r="D674" s="4" t="s">
        <v>129</v>
      </c>
      <c r="E674" s="25">
        <f t="shared" si="109"/>
        <v>166666.6667</v>
      </c>
      <c r="G674" s="43"/>
      <c r="I674" s="19"/>
    </row>
    <row r="675">
      <c r="A675" s="32"/>
      <c r="D675" s="28" t="s">
        <v>131</v>
      </c>
      <c r="I675" s="19"/>
    </row>
    <row r="676">
      <c r="A676" s="32"/>
      <c r="D676" s="4" t="s">
        <v>132</v>
      </c>
      <c r="E676" s="25">
        <f t="shared" ref="E676:E678" si="110">H667-E660</f>
        <v>363636.3636</v>
      </c>
      <c r="G676" s="28" t="s">
        <v>134</v>
      </c>
      <c r="I676" s="19"/>
    </row>
    <row r="677">
      <c r="A677" s="32"/>
      <c r="D677" s="4" t="s">
        <v>133</v>
      </c>
      <c r="E677" s="25">
        <f t="shared" si="110"/>
        <v>30303.0303</v>
      </c>
      <c r="G677" s="35" t="s">
        <v>137</v>
      </c>
      <c r="H677" s="25">
        <f>E662/H665</f>
        <v>0.006313131313</v>
      </c>
      <c r="I677" s="19"/>
    </row>
    <row r="678">
      <c r="A678" s="44"/>
      <c r="B678" s="45"/>
      <c r="C678" s="45"/>
      <c r="D678" s="47" t="s">
        <v>136</v>
      </c>
      <c r="E678" s="45">
        <f t="shared" si="110"/>
        <v>151515.1515</v>
      </c>
      <c r="F678" s="45"/>
      <c r="G678" s="48" t="s">
        <v>139</v>
      </c>
      <c r="H678" s="45">
        <f>H652-H677</f>
        <v>4.160353535</v>
      </c>
      <c r="I678" s="50"/>
    </row>
    <row r="680">
      <c r="A680" s="6" t="s">
        <v>70</v>
      </c>
      <c r="B680" s="34" t="s">
        <v>169</v>
      </c>
      <c r="C680" s="10"/>
      <c r="D680" s="9" t="s">
        <v>71</v>
      </c>
      <c r="E680" s="10"/>
      <c r="F680" s="10"/>
      <c r="G680" s="10"/>
      <c r="H680" s="10"/>
      <c r="I680" s="11"/>
    </row>
    <row r="681">
      <c r="A681" s="12" t="s">
        <v>72</v>
      </c>
      <c r="B681" s="13">
        <v>1000000.0</v>
      </c>
      <c r="D681" s="56" t="str">
        <f>B680</f>
        <v>Test Date</v>
      </c>
      <c r="E681" s="16" t="s">
        <v>73</v>
      </c>
      <c r="F681" s="17"/>
      <c r="G681" s="16" t="s">
        <v>74</v>
      </c>
      <c r="H681" s="16" t="s">
        <v>75</v>
      </c>
      <c r="I681" s="57" t="s">
        <v>76</v>
      </c>
    </row>
    <row r="682">
      <c r="A682" s="12" t="s">
        <v>78</v>
      </c>
      <c r="B682" s="13">
        <v>0.0</v>
      </c>
      <c r="D682" s="20" t="s">
        <v>72</v>
      </c>
      <c r="E682" s="21">
        <f t="shared" ref="E682:E683" si="111">B681</f>
        <v>1000000</v>
      </c>
      <c r="F682" s="20" t="s">
        <v>79</v>
      </c>
      <c r="G682" s="21">
        <f t="shared" ref="G682:G683" si="112">B684</f>
        <v>4</v>
      </c>
      <c r="H682" s="4">
        <f>G682+(G683/60)</f>
        <v>4.166666667</v>
      </c>
      <c r="I682" s="58">
        <f>B689</f>
        <v>6</v>
      </c>
    </row>
    <row r="683">
      <c r="A683" s="12" t="s">
        <v>81</v>
      </c>
      <c r="B683" s="14"/>
      <c r="D683" s="20" t="s">
        <v>78</v>
      </c>
      <c r="E683" s="21">
        <f t="shared" si="111"/>
        <v>0</v>
      </c>
      <c r="F683" s="20" t="s">
        <v>82</v>
      </c>
      <c r="G683" s="21">
        <f t="shared" si="112"/>
        <v>10</v>
      </c>
      <c r="I683" s="19"/>
    </row>
    <row r="684">
      <c r="A684" s="24" t="s">
        <v>79</v>
      </c>
      <c r="B684" s="13">
        <v>4.0</v>
      </c>
      <c r="D684" s="20" t="s">
        <v>84</v>
      </c>
      <c r="E684" s="25">
        <f>E682-E683</f>
        <v>1000000</v>
      </c>
      <c r="F684" s="26"/>
      <c r="G684" s="16" t="s">
        <v>85</v>
      </c>
      <c r="H684" s="16" t="s">
        <v>86</v>
      </c>
      <c r="I684" s="57" t="s">
        <v>87</v>
      </c>
    </row>
    <row r="685">
      <c r="A685" s="24" t="s">
        <v>89</v>
      </c>
      <c r="B685" s="13">
        <v>10.0</v>
      </c>
      <c r="D685" s="51"/>
      <c r="F685" s="20" t="s">
        <v>79</v>
      </c>
      <c r="G685" s="21">
        <f t="shared" ref="G685:G686" si="113">B687</f>
        <v>4</v>
      </c>
      <c r="H685" s="25">
        <f>G685+(G686/60)</f>
        <v>4.166666667</v>
      </c>
      <c r="I685" s="19">
        <f>H682-H685</f>
        <v>0</v>
      </c>
    </row>
    <row r="686">
      <c r="A686" s="12" t="s">
        <v>85</v>
      </c>
      <c r="B686" s="27"/>
      <c r="D686" s="51"/>
      <c r="F686" s="20" t="s">
        <v>82</v>
      </c>
      <c r="G686" s="21">
        <f t="shared" si="113"/>
        <v>10</v>
      </c>
      <c r="I686" s="19"/>
    </row>
    <row r="687">
      <c r="A687" s="24" t="s">
        <v>79</v>
      </c>
      <c r="B687" s="13">
        <v>4.0</v>
      </c>
      <c r="D687" s="16" t="s">
        <v>170</v>
      </c>
      <c r="I687" s="19"/>
    </row>
    <row r="688">
      <c r="A688" s="24" t="s">
        <v>89</v>
      </c>
      <c r="B688" s="13">
        <v>10.0</v>
      </c>
      <c r="D688" s="16" t="s">
        <v>92</v>
      </c>
      <c r="E688" s="25">
        <f>E682/H692</f>
        <v>218181.8182</v>
      </c>
      <c r="I688" s="19"/>
    </row>
    <row r="689">
      <c r="A689" s="12" t="s">
        <v>98</v>
      </c>
      <c r="B689" s="13">
        <v>6.0</v>
      </c>
      <c r="D689" s="16" t="s">
        <v>94</v>
      </c>
      <c r="E689" s="25">
        <f>E682/I682</f>
        <v>166666.6667</v>
      </c>
      <c r="I689" s="19"/>
    </row>
    <row r="690">
      <c r="A690" s="32"/>
      <c r="D690" s="16" t="s">
        <v>96</v>
      </c>
      <c r="E690" s="25">
        <f>E688/I682</f>
        <v>36363.63636</v>
      </c>
      <c r="F690" s="4"/>
      <c r="G690" s="4"/>
      <c r="H690" s="4"/>
      <c r="I690" s="59"/>
    </row>
    <row r="691">
      <c r="A691" s="60"/>
      <c r="D691" s="16" t="s">
        <v>99</v>
      </c>
      <c r="E691" s="25">
        <f>E690/12</f>
        <v>3030.30303</v>
      </c>
      <c r="F691" s="4" t="s">
        <v>171</v>
      </c>
      <c r="I691" s="59"/>
    </row>
    <row r="692">
      <c r="A692" s="61"/>
      <c r="D692" s="16" t="s">
        <v>101</v>
      </c>
      <c r="E692" s="25">
        <f>E691*5</f>
        <v>15151.51515</v>
      </c>
      <c r="F692" s="4" t="s">
        <v>171</v>
      </c>
      <c r="G692" s="35" t="s">
        <v>105</v>
      </c>
      <c r="H692" s="25">
        <f>H682+(25/60)</f>
        <v>4.583333333</v>
      </c>
      <c r="I692" s="19"/>
    </row>
    <row r="693">
      <c r="A693" s="61"/>
      <c r="D693" s="17"/>
      <c r="G693" s="35" t="s">
        <v>108</v>
      </c>
      <c r="H693" s="25">
        <f>I685+(25/60)</f>
        <v>0.4166666667</v>
      </c>
      <c r="I693" s="19"/>
    </row>
    <row r="694">
      <c r="A694" s="61"/>
      <c r="D694" s="16" t="s">
        <v>111</v>
      </c>
      <c r="G694" s="16" t="s">
        <v>112</v>
      </c>
      <c r="I694" s="19"/>
    </row>
    <row r="695">
      <c r="A695" s="61"/>
      <c r="D695" s="16" t="s">
        <v>92</v>
      </c>
      <c r="E695" s="25">
        <f>E683/H685</f>
        <v>0</v>
      </c>
      <c r="G695" s="16" t="s">
        <v>92</v>
      </c>
      <c r="H695" s="25">
        <f>E684/H693</f>
        <v>2400000</v>
      </c>
      <c r="I695" s="19"/>
    </row>
    <row r="696">
      <c r="A696" s="61"/>
      <c r="D696" s="16" t="s">
        <v>94</v>
      </c>
      <c r="E696" s="25">
        <f>E683/I682</f>
        <v>0</v>
      </c>
      <c r="G696" s="16" t="s">
        <v>94</v>
      </c>
      <c r="H696" s="25">
        <f>E684/I682</f>
        <v>166666.6667</v>
      </c>
      <c r="I696" s="19"/>
    </row>
    <row r="697">
      <c r="A697" s="60"/>
      <c r="D697" s="16" t="s">
        <v>96</v>
      </c>
      <c r="E697" s="25">
        <f>E696/H685</f>
        <v>0</v>
      </c>
      <c r="G697" s="16" t="s">
        <v>96</v>
      </c>
      <c r="H697" s="25">
        <f>H696/H693</f>
        <v>400000</v>
      </c>
      <c r="I697" s="19"/>
    </row>
    <row r="698">
      <c r="A698" s="32"/>
      <c r="D698" s="16" t="s">
        <v>99</v>
      </c>
      <c r="E698" s="25">
        <f>E697/12</f>
        <v>0</v>
      </c>
      <c r="G698" s="16" t="s">
        <v>99</v>
      </c>
      <c r="H698" s="25">
        <f>H697/12</f>
        <v>33333.33333</v>
      </c>
      <c r="I698" s="19"/>
    </row>
    <row r="699">
      <c r="A699" s="42"/>
      <c r="D699" s="16" t="s">
        <v>101</v>
      </c>
      <c r="E699" s="25">
        <f>E698*5</f>
        <v>0</v>
      </c>
      <c r="G699" s="16" t="s">
        <v>101</v>
      </c>
      <c r="H699" s="25">
        <f>H698*5</f>
        <v>166666.6667</v>
      </c>
      <c r="I699" s="19"/>
    </row>
    <row r="700">
      <c r="A700" s="42"/>
      <c r="I700" s="19"/>
    </row>
    <row r="701">
      <c r="A701" s="42"/>
      <c r="D701" s="28" t="s">
        <v>124</v>
      </c>
      <c r="E701" s="41"/>
      <c r="F701" s="41"/>
      <c r="I701" s="19"/>
    </row>
    <row r="702">
      <c r="A702" s="42"/>
      <c r="D702" s="4" t="s">
        <v>126</v>
      </c>
      <c r="E702" s="25">
        <f t="shared" ref="E702:E704" si="114">H697-E697</f>
        <v>400000</v>
      </c>
      <c r="I702" s="19"/>
    </row>
    <row r="703">
      <c r="A703" s="42"/>
      <c r="D703" s="4" t="s">
        <v>128</v>
      </c>
      <c r="E703" s="25">
        <f t="shared" si="114"/>
        <v>33333.33333</v>
      </c>
      <c r="I703" s="19"/>
    </row>
    <row r="704">
      <c r="A704" s="32"/>
      <c r="D704" s="4" t="s">
        <v>129</v>
      </c>
      <c r="E704" s="25">
        <f t="shared" si="114"/>
        <v>166666.6667</v>
      </c>
      <c r="G704" s="43"/>
      <c r="I704" s="19"/>
    </row>
    <row r="705">
      <c r="A705" s="32"/>
      <c r="D705" s="28" t="s">
        <v>131</v>
      </c>
      <c r="I705" s="19"/>
    </row>
    <row r="706">
      <c r="A706" s="32"/>
      <c r="D706" s="4" t="s">
        <v>132</v>
      </c>
      <c r="E706" s="25">
        <f t="shared" ref="E706:E708" si="115">H697-E690</f>
        <v>363636.3636</v>
      </c>
      <c r="G706" s="28" t="s">
        <v>134</v>
      </c>
      <c r="I706" s="19"/>
    </row>
    <row r="707">
      <c r="A707" s="32"/>
      <c r="D707" s="4" t="s">
        <v>133</v>
      </c>
      <c r="E707" s="25">
        <f t="shared" si="115"/>
        <v>30303.0303</v>
      </c>
      <c r="G707" s="35" t="s">
        <v>137</v>
      </c>
      <c r="H707" s="25">
        <f>E692/H695</f>
        <v>0.006313131313</v>
      </c>
      <c r="I707" s="19"/>
    </row>
    <row r="708">
      <c r="A708" s="44"/>
      <c r="B708" s="45"/>
      <c r="C708" s="45"/>
      <c r="D708" s="47" t="s">
        <v>136</v>
      </c>
      <c r="E708" s="45">
        <f t="shared" si="115"/>
        <v>151515.1515</v>
      </c>
      <c r="F708" s="45"/>
      <c r="G708" s="48" t="s">
        <v>139</v>
      </c>
      <c r="H708" s="45">
        <f>H682-H707</f>
        <v>4.160353535</v>
      </c>
      <c r="I708" s="50"/>
    </row>
    <row r="710">
      <c r="A710" s="6" t="s">
        <v>70</v>
      </c>
      <c r="B710" s="34" t="s">
        <v>169</v>
      </c>
      <c r="C710" s="10"/>
      <c r="D710" s="9" t="s">
        <v>71</v>
      </c>
      <c r="E710" s="10"/>
      <c r="F710" s="10"/>
      <c r="G710" s="10"/>
      <c r="H710" s="10"/>
      <c r="I710" s="11"/>
    </row>
    <row r="711">
      <c r="A711" s="12" t="s">
        <v>72</v>
      </c>
      <c r="B711" s="13">
        <v>1000000.0</v>
      </c>
      <c r="D711" s="56" t="str">
        <f>B710</f>
        <v>Test Date</v>
      </c>
      <c r="E711" s="16" t="s">
        <v>73</v>
      </c>
      <c r="F711" s="17"/>
      <c r="G711" s="16" t="s">
        <v>74</v>
      </c>
      <c r="H711" s="16" t="s">
        <v>75</v>
      </c>
      <c r="I711" s="57" t="s">
        <v>76</v>
      </c>
    </row>
    <row r="712">
      <c r="A712" s="12" t="s">
        <v>78</v>
      </c>
      <c r="B712" s="13">
        <v>0.0</v>
      </c>
      <c r="D712" s="20" t="s">
        <v>72</v>
      </c>
      <c r="E712" s="21">
        <f t="shared" ref="E712:E713" si="116">B711</f>
        <v>1000000</v>
      </c>
      <c r="F712" s="20" t="s">
        <v>79</v>
      </c>
      <c r="G712" s="21">
        <f t="shared" ref="G712:G713" si="117">B714</f>
        <v>4</v>
      </c>
      <c r="H712" s="4">
        <f>G712+(G713/60)</f>
        <v>4.166666667</v>
      </c>
      <c r="I712" s="58">
        <f>B719</f>
        <v>6</v>
      </c>
    </row>
    <row r="713">
      <c r="A713" s="12" t="s">
        <v>81</v>
      </c>
      <c r="B713" s="14"/>
      <c r="D713" s="20" t="s">
        <v>78</v>
      </c>
      <c r="E713" s="21">
        <f t="shared" si="116"/>
        <v>0</v>
      </c>
      <c r="F713" s="20" t="s">
        <v>82</v>
      </c>
      <c r="G713" s="21">
        <f t="shared" si="117"/>
        <v>10</v>
      </c>
      <c r="I713" s="19"/>
    </row>
    <row r="714">
      <c r="A714" s="24" t="s">
        <v>79</v>
      </c>
      <c r="B714" s="13">
        <v>4.0</v>
      </c>
      <c r="D714" s="20" t="s">
        <v>84</v>
      </c>
      <c r="E714" s="25">
        <f>E712-E713</f>
        <v>1000000</v>
      </c>
      <c r="F714" s="26"/>
      <c r="G714" s="16" t="s">
        <v>85</v>
      </c>
      <c r="H714" s="16" t="s">
        <v>86</v>
      </c>
      <c r="I714" s="57" t="s">
        <v>87</v>
      </c>
    </row>
    <row r="715">
      <c r="A715" s="24" t="s">
        <v>89</v>
      </c>
      <c r="B715" s="13">
        <v>10.0</v>
      </c>
      <c r="D715" s="51"/>
      <c r="F715" s="20" t="s">
        <v>79</v>
      </c>
      <c r="G715" s="21">
        <f t="shared" ref="G715:G716" si="118">B717</f>
        <v>4</v>
      </c>
      <c r="H715" s="25">
        <f>G715+(G716/60)</f>
        <v>4.166666667</v>
      </c>
      <c r="I715" s="19">
        <f>H712-H715</f>
        <v>0</v>
      </c>
    </row>
    <row r="716">
      <c r="A716" s="12" t="s">
        <v>85</v>
      </c>
      <c r="B716" s="27"/>
      <c r="D716" s="51"/>
      <c r="F716" s="20" t="s">
        <v>82</v>
      </c>
      <c r="G716" s="21">
        <f t="shared" si="118"/>
        <v>10</v>
      </c>
      <c r="I716" s="19"/>
    </row>
    <row r="717">
      <c r="A717" s="24" t="s">
        <v>79</v>
      </c>
      <c r="B717" s="13">
        <v>4.0</v>
      </c>
      <c r="D717" s="16" t="s">
        <v>170</v>
      </c>
      <c r="I717" s="19"/>
    </row>
    <row r="718">
      <c r="A718" s="24" t="s">
        <v>89</v>
      </c>
      <c r="B718" s="13">
        <v>10.0</v>
      </c>
      <c r="D718" s="16" t="s">
        <v>92</v>
      </c>
      <c r="E718" s="25">
        <f>E712/H722</f>
        <v>218181.8182</v>
      </c>
      <c r="I718" s="19"/>
    </row>
    <row r="719">
      <c r="A719" s="12" t="s">
        <v>98</v>
      </c>
      <c r="B719" s="13">
        <v>6.0</v>
      </c>
      <c r="D719" s="16" t="s">
        <v>94</v>
      </c>
      <c r="E719" s="25">
        <f>E712/I712</f>
        <v>166666.6667</v>
      </c>
      <c r="I719" s="19"/>
    </row>
    <row r="720">
      <c r="A720" s="32"/>
      <c r="D720" s="16" t="s">
        <v>96</v>
      </c>
      <c r="E720" s="25">
        <f>E718/I712</f>
        <v>36363.63636</v>
      </c>
      <c r="F720" s="4"/>
      <c r="G720" s="4"/>
      <c r="H720" s="4"/>
      <c r="I720" s="59"/>
    </row>
    <row r="721">
      <c r="A721" s="60"/>
      <c r="D721" s="16" t="s">
        <v>99</v>
      </c>
      <c r="E721" s="25">
        <f>E720/12</f>
        <v>3030.30303</v>
      </c>
      <c r="F721" s="4" t="s">
        <v>171</v>
      </c>
      <c r="I721" s="59"/>
    </row>
    <row r="722">
      <c r="A722" s="61"/>
      <c r="D722" s="16" t="s">
        <v>101</v>
      </c>
      <c r="E722" s="25">
        <f>E721*5</f>
        <v>15151.51515</v>
      </c>
      <c r="F722" s="4" t="s">
        <v>171</v>
      </c>
      <c r="G722" s="35" t="s">
        <v>105</v>
      </c>
      <c r="H722" s="25">
        <f>H712+(25/60)</f>
        <v>4.583333333</v>
      </c>
      <c r="I722" s="19"/>
    </row>
    <row r="723">
      <c r="A723" s="61"/>
      <c r="D723" s="17"/>
      <c r="G723" s="35" t="s">
        <v>108</v>
      </c>
      <c r="H723" s="25">
        <f>I715+(25/60)</f>
        <v>0.4166666667</v>
      </c>
      <c r="I723" s="19"/>
    </row>
    <row r="724">
      <c r="A724" s="61"/>
      <c r="D724" s="16" t="s">
        <v>111</v>
      </c>
      <c r="G724" s="16" t="s">
        <v>112</v>
      </c>
      <c r="I724" s="19"/>
    </row>
    <row r="725">
      <c r="A725" s="61"/>
      <c r="D725" s="16" t="s">
        <v>92</v>
      </c>
      <c r="E725" s="25">
        <f>E713/H715</f>
        <v>0</v>
      </c>
      <c r="G725" s="16" t="s">
        <v>92</v>
      </c>
      <c r="H725" s="25">
        <f>E714/H723</f>
        <v>2400000</v>
      </c>
      <c r="I725" s="19"/>
    </row>
    <row r="726">
      <c r="A726" s="61"/>
      <c r="D726" s="16" t="s">
        <v>94</v>
      </c>
      <c r="E726" s="25">
        <f>E713/I712</f>
        <v>0</v>
      </c>
      <c r="G726" s="16" t="s">
        <v>94</v>
      </c>
      <c r="H726" s="25">
        <f>E714/I712</f>
        <v>166666.6667</v>
      </c>
      <c r="I726" s="19"/>
    </row>
    <row r="727">
      <c r="A727" s="60"/>
      <c r="D727" s="16" t="s">
        <v>96</v>
      </c>
      <c r="E727" s="25">
        <f>E726/H715</f>
        <v>0</v>
      </c>
      <c r="G727" s="16" t="s">
        <v>96</v>
      </c>
      <c r="H727" s="25">
        <f>H726/H723</f>
        <v>400000</v>
      </c>
      <c r="I727" s="19"/>
    </row>
    <row r="728">
      <c r="A728" s="32"/>
      <c r="D728" s="16" t="s">
        <v>99</v>
      </c>
      <c r="E728" s="25">
        <f>E727/12</f>
        <v>0</v>
      </c>
      <c r="G728" s="16" t="s">
        <v>99</v>
      </c>
      <c r="H728" s="25">
        <f>H727/12</f>
        <v>33333.33333</v>
      </c>
      <c r="I728" s="19"/>
    </row>
    <row r="729">
      <c r="A729" s="42"/>
      <c r="D729" s="16" t="s">
        <v>101</v>
      </c>
      <c r="E729" s="25">
        <f>E728*5</f>
        <v>0</v>
      </c>
      <c r="G729" s="16" t="s">
        <v>101</v>
      </c>
      <c r="H729" s="25">
        <f>H728*5</f>
        <v>166666.6667</v>
      </c>
      <c r="I729" s="19"/>
    </row>
    <row r="730">
      <c r="A730" s="42"/>
      <c r="I730" s="19"/>
    </row>
    <row r="731">
      <c r="A731" s="42"/>
      <c r="D731" s="28" t="s">
        <v>124</v>
      </c>
      <c r="E731" s="41"/>
      <c r="F731" s="41"/>
      <c r="I731" s="19"/>
    </row>
    <row r="732">
      <c r="A732" s="42"/>
      <c r="D732" s="4" t="s">
        <v>126</v>
      </c>
      <c r="E732" s="25">
        <f t="shared" ref="E732:E734" si="119">H727-E727</f>
        <v>400000</v>
      </c>
      <c r="I732" s="19"/>
    </row>
    <row r="733">
      <c r="A733" s="42"/>
      <c r="D733" s="4" t="s">
        <v>128</v>
      </c>
      <c r="E733" s="25">
        <f t="shared" si="119"/>
        <v>33333.33333</v>
      </c>
      <c r="I733" s="19"/>
    </row>
    <row r="734">
      <c r="A734" s="32"/>
      <c r="D734" s="4" t="s">
        <v>129</v>
      </c>
      <c r="E734" s="25">
        <f t="shared" si="119"/>
        <v>166666.6667</v>
      </c>
      <c r="G734" s="43"/>
      <c r="I734" s="19"/>
    </row>
    <row r="735">
      <c r="A735" s="32"/>
      <c r="D735" s="28" t="s">
        <v>131</v>
      </c>
      <c r="I735" s="19"/>
    </row>
    <row r="736">
      <c r="A736" s="32"/>
      <c r="D736" s="4" t="s">
        <v>132</v>
      </c>
      <c r="E736" s="25">
        <f t="shared" ref="E736:E738" si="120">H727-E720</f>
        <v>363636.3636</v>
      </c>
      <c r="G736" s="28" t="s">
        <v>134</v>
      </c>
      <c r="I736" s="19"/>
    </row>
    <row r="737">
      <c r="A737" s="32"/>
      <c r="D737" s="4" t="s">
        <v>133</v>
      </c>
      <c r="E737" s="25">
        <f t="shared" si="120"/>
        <v>30303.0303</v>
      </c>
      <c r="G737" s="35" t="s">
        <v>137</v>
      </c>
      <c r="H737" s="25">
        <f>E722/H725</f>
        <v>0.006313131313</v>
      </c>
      <c r="I737" s="19"/>
    </row>
    <row r="738">
      <c r="A738" s="44"/>
      <c r="B738" s="45"/>
      <c r="C738" s="45"/>
      <c r="D738" s="47" t="s">
        <v>136</v>
      </c>
      <c r="E738" s="45">
        <f t="shared" si="120"/>
        <v>151515.1515</v>
      </c>
      <c r="F738" s="45"/>
      <c r="G738" s="48" t="s">
        <v>139</v>
      </c>
      <c r="H738" s="45">
        <f>H712-H737</f>
        <v>4.160353535</v>
      </c>
      <c r="I738" s="50"/>
    </row>
    <row r="740">
      <c r="A740" s="6" t="s">
        <v>70</v>
      </c>
      <c r="B740" s="34" t="s">
        <v>169</v>
      </c>
      <c r="C740" s="10"/>
      <c r="D740" s="9" t="s">
        <v>71</v>
      </c>
      <c r="E740" s="10"/>
      <c r="F740" s="10"/>
      <c r="G740" s="10"/>
      <c r="H740" s="10"/>
      <c r="I740" s="11"/>
    </row>
    <row r="741">
      <c r="A741" s="12" t="s">
        <v>72</v>
      </c>
      <c r="B741" s="13">
        <v>1000000.0</v>
      </c>
      <c r="D741" s="56" t="str">
        <f>B740</f>
        <v>Test Date</v>
      </c>
      <c r="E741" s="16" t="s">
        <v>73</v>
      </c>
      <c r="F741" s="17"/>
      <c r="G741" s="16" t="s">
        <v>74</v>
      </c>
      <c r="H741" s="16" t="s">
        <v>75</v>
      </c>
      <c r="I741" s="57" t="s">
        <v>76</v>
      </c>
    </row>
    <row r="742">
      <c r="A742" s="12" t="s">
        <v>78</v>
      </c>
      <c r="B742" s="13">
        <v>0.0</v>
      </c>
      <c r="D742" s="20" t="s">
        <v>72</v>
      </c>
      <c r="E742" s="21">
        <f t="shared" ref="E742:E743" si="121">B741</f>
        <v>1000000</v>
      </c>
      <c r="F742" s="20" t="s">
        <v>79</v>
      </c>
      <c r="G742" s="21">
        <f t="shared" ref="G742:G743" si="122">B744</f>
        <v>4</v>
      </c>
      <c r="H742" s="4">
        <f>G742+(G743/60)</f>
        <v>4.166666667</v>
      </c>
      <c r="I742" s="58">
        <f>B749</f>
        <v>6</v>
      </c>
    </row>
    <row r="743">
      <c r="A743" s="12" t="s">
        <v>81</v>
      </c>
      <c r="B743" s="14"/>
      <c r="D743" s="20" t="s">
        <v>78</v>
      </c>
      <c r="E743" s="21">
        <f t="shared" si="121"/>
        <v>0</v>
      </c>
      <c r="F743" s="20" t="s">
        <v>82</v>
      </c>
      <c r="G743" s="21">
        <f t="shared" si="122"/>
        <v>10</v>
      </c>
      <c r="I743" s="19"/>
    </row>
    <row r="744">
      <c r="A744" s="24" t="s">
        <v>79</v>
      </c>
      <c r="B744" s="13">
        <v>4.0</v>
      </c>
      <c r="D744" s="20" t="s">
        <v>84</v>
      </c>
      <c r="E744" s="25">
        <f>E742-E743</f>
        <v>1000000</v>
      </c>
      <c r="F744" s="26"/>
      <c r="G744" s="16" t="s">
        <v>85</v>
      </c>
      <c r="H744" s="16" t="s">
        <v>86</v>
      </c>
      <c r="I744" s="57" t="s">
        <v>87</v>
      </c>
    </row>
    <row r="745">
      <c r="A745" s="24" t="s">
        <v>89</v>
      </c>
      <c r="B745" s="13">
        <v>10.0</v>
      </c>
      <c r="D745" s="51"/>
      <c r="F745" s="20" t="s">
        <v>79</v>
      </c>
      <c r="G745" s="21">
        <f t="shared" ref="G745:G746" si="123">B747</f>
        <v>4</v>
      </c>
      <c r="H745" s="25">
        <f>G745+(G746/60)</f>
        <v>4.166666667</v>
      </c>
      <c r="I745" s="19">
        <f>H742-H745</f>
        <v>0</v>
      </c>
    </row>
    <row r="746">
      <c r="A746" s="12" t="s">
        <v>85</v>
      </c>
      <c r="B746" s="27"/>
      <c r="D746" s="51"/>
      <c r="F746" s="20" t="s">
        <v>82</v>
      </c>
      <c r="G746" s="21">
        <f t="shared" si="123"/>
        <v>10</v>
      </c>
      <c r="I746" s="19"/>
    </row>
    <row r="747">
      <c r="A747" s="24" t="s">
        <v>79</v>
      </c>
      <c r="B747" s="13">
        <v>4.0</v>
      </c>
      <c r="D747" s="16" t="s">
        <v>170</v>
      </c>
      <c r="I747" s="19"/>
    </row>
    <row r="748">
      <c r="A748" s="24" t="s">
        <v>89</v>
      </c>
      <c r="B748" s="13">
        <v>10.0</v>
      </c>
      <c r="D748" s="16" t="s">
        <v>92</v>
      </c>
      <c r="E748" s="25">
        <f>E742/H752</f>
        <v>218181.8182</v>
      </c>
      <c r="I748" s="19"/>
    </row>
    <row r="749">
      <c r="A749" s="12" t="s">
        <v>98</v>
      </c>
      <c r="B749" s="13">
        <v>6.0</v>
      </c>
      <c r="D749" s="16" t="s">
        <v>94</v>
      </c>
      <c r="E749" s="25">
        <f>E742/I742</f>
        <v>166666.6667</v>
      </c>
      <c r="I749" s="19"/>
    </row>
    <row r="750">
      <c r="A750" s="32"/>
      <c r="D750" s="16" t="s">
        <v>96</v>
      </c>
      <c r="E750" s="25">
        <f>E748/I742</f>
        <v>36363.63636</v>
      </c>
      <c r="F750" s="4"/>
      <c r="G750" s="4"/>
      <c r="H750" s="4"/>
      <c r="I750" s="59"/>
    </row>
    <row r="751">
      <c r="A751" s="60"/>
      <c r="D751" s="16" t="s">
        <v>99</v>
      </c>
      <c r="E751" s="25">
        <f>E750/12</f>
        <v>3030.30303</v>
      </c>
      <c r="F751" s="4" t="s">
        <v>171</v>
      </c>
      <c r="I751" s="59"/>
    </row>
    <row r="752">
      <c r="A752" s="61"/>
      <c r="D752" s="16" t="s">
        <v>101</v>
      </c>
      <c r="E752" s="25">
        <f>E751*5</f>
        <v>15151.51515</v>
      </c>
      <c r="F752" s="4" t="s">
        <v>171</v>
      </c>
      <c r="G752" s="35" t="s">
        <v>105</v>
      </c>
      <c r="H752" s="25">
        <f>H742+(25/60)</f>
        <v>4.583333333</v>
      </c>
      <c r="I752" s="19"/>
    </row>
    <row r="753">
      <c r="A753" s="61"/>
      <c r="D753" s="17"/>
      <c r="G753" s="35" t="s">
        <v>108</v>
      </c>
      <c r="H753" s="25">
        <f>I745+(25/60)</f>
        <v>0.4166666667</v>
      </c>
      <c r="I753" s="19"/>
    </row>
    <row r="754">
      <c r="A754" s="61"/>
      <c r="D754" s="16" t="s">
        <v>111</v>
      </c>
      <c r="G754" s="16" t="s">
        <v>112</v>
      </c>
      <c r="I754" s="19"/>
    </row>
    <row r="755">
      <c r="A755" s="61"/>
      <c r="D755" s="16" t="s">
        <v>92</v>
      </c>
      <c r="E755" s="25">
        <f>E743/H745</f>
        <v>0</v>
      </c>
      <c r="G755" s="16" t="s">
        <v>92</v>
      </c>
      <c r="H755" s="25">
        <f>E744/H753</f>
        <v>2400000</v>
      </c>
      <c r="I755" s="19"/>
    </row>
    <row r="756">
      <c r="A756" s="61"/>
      <c r="D756" s="16" t="s">
        <v>94</v>
      </c>
      <c r="E756" s="25">
        <f>E743/I742</f>
        <v>0</v>
      </c>
      <c r="G756" s="16" t="s">
        <v>94</v>
      </c>
      <c r="H756" s="25">
        <f>E744/I742</f>
        <v>166666.6667</v>
      </c>
      <c r="I756" s="19"/>
    </row>
    <row r="757">
      <c r="A757" s="60"/>
      <c r="D757" s="16" t="s">
        <v>96</v>
      </c>
      <c r="E757" s="25">
        <f>E756/H745</f>
        <v>0</v>
      </c>
      <c r="G757" s="16" t="s">
        <v>96</v>
      </c>
      <c r="H757" s="25">
        <f>H756/H753</f>
        <v>400000</v>
      </c>
      <c r="I757" s="19"/>
    </row>
    <row r="758">
      <c r="A758" s="32"/>
      <c r="D758" s="16" t="s">
        <v>99</v>
      </c>
      <c r="E758" s="25">
        <f>E757/12</f>
        <v>0</v>
      </c>
      <c r="G758" s="16" t="s">
        <v>99</v>
      </c>
      <c r="H758" s="25">
        <f>H757/12</f>
        <v>33333.33333</v>
      </c>
      <c r="I758" s="19"/>
    </row>
    <row r="759">
      <c r="A759" s="42"/>
      <c r="D759" s="16" t="s">
        <v>101</v>
      </c>
      <c r="E759" s="25">
        <f>E758*5</f>
        <v>0</v>
      </c>
      <c r="G759" s="16" t="s">
        <v>101</v>
      </c>
      <c r="H759" s="25">
        <f>H758*5</f>
        <v>166666.6667</v>
      </c>
      <c r="I759" s="19"/>
    </row>
    <row r="760">
      <c r="A760" s="42"/>
      <c r="I760" s="19"/>
    </row>
    <row r="761">
      <c r="A761" s="42"/>
      <c r="D761" s="28" t="s">
        <v>124</v>
      </c>
      <c r="E761" s="41"/>
      <c r="F761" s="41"/>
      <c r="I761" s="19"/>
    </row>
    <row r="762">
      <c r="A762" s="42"/>
      <c r="D762" s="4" t="s">
        <v>126</v>
      </c>
      <c r="E762" s="25">
        <f t="shared" ref="E762:E764" si="124">H757-E757</f>
        <v>400000</v>
      </c>
      <c r="I762" s="19"/>
    </row>
    <row r="763">
      <c r="A763" s="42"/>
      <c r="D763" s="4" t="s">
        <v>128</v>
      </c>
      <c r="E763" s="25">
        <f t="shared" si="124"/>
        <v>33333.33333</v>
      </c>
      <c r="I763" s="19"/>
    </row>
    <row r="764">
      <c r="A764" s="32"/>
      <c r="D764" s="4" t="s">
        <v>129</v>
      </c>
      <c r="E764" s="25">
        <f t="shared" si="124"/>
        <v>166666.6667</v>
      </c>
      <c r="G764" s="43"/>
      <c r="I764" s="19"/>
    </row>
    <row r="765">
      <c r="A765" s="32"/>
      <c r="D765" s="28" t="s">
        <v>131</v>
      </c>
      <c r="I765" s="19"/>
    </row>
    <row r="766">
      <c r="A766" s="32"/>
      <c r="D766" s="4" t="s">
        <v>132</v>
      </c>
      <c r="E766" s="25">
        <f t="shared" ref="E766:E768" si="125">H757-E750</f>
        <v>363636.3636</v>
      </c>
      <c r="G766" s="28" t="s">
        <v>134</v>
      </c>
      <c r="I766" s="19"/>
    </row>
    <row r="767">
      <c r="A767" s="32"/>
      <c r="D767" s="4" t="s">
        <v>133</v>
      </c>
      <c r="E767" s="25">
        <f t="shared" si="125"/>
        <v>30303.0303</v>
      </c>
      <c r="G767" s="35" t="s">
        <v>137</v>
      </c>
      <c r="H767" s="25">
        <f>E752/H755</f>
        <v>0.006313131313</v>
      </c>
      <c r="I767" s="19"/>
    </row>
    <row r="768">
      <c r="A768" s="44"/>
      <c r="B768" s="45"/>
      <c r="C768" s="45"/>
      <c r="D768" s="47" t="s">
        <v>136</v>
      </c>
      <c r="E768" s="45">
        <f t="shared" si="125"/>
        <v>151515.1515</v>
      </c>
      <c r="F768" s="45"/>
      <c r="G768" s="48" t="s">
        <v>139</v>
      </c>
      <c r="H768" s="45">
        <f>H742-H767</f>
        <v>4.160353535</v>
      </c>
      <c r="I768" s="50"/>
    </row>
    <row r="770">
      <c r="A770" s="6" t="s">
        <v>70</v>
      </c>
      <c r="B770" s="34" t="s">
        <v>169</v>
      </c>
      <c r="C770" s="10"/>
      <c r="D770" s="9" t="s">
        <v>71</v>
      </c>
      <c r="E770" s="10"/>
      <c r="F770" s="10"/>
      <c r="G770" s="10"/>
      <c r="H770" s="10"/>
      <c r="I770" s="11"/>
    </row>
    <row r="771">
      <c r="A771" s="12" t="s">
        <v>72</v>
      </c>
      <c r="B771" s="13">
        <v>1000000.0</v>
      </c>
      <c r="D771" s="56" t="str">
        <f>B770</f>
        <v>Test Date</v>
      </c>
      <c r="E771" s="16" t="s">
        <v>73</v>
      </c>
      <c r="F771" s="17"/>
      <c r="G771" s="16" t="s">
        <v>74</v>
      </c>
      <c r="H771" s="16" t="s">
        <v>75</v>
      </c>
      <c r="I771" s="57" t="s">
        <v>76</v>
      </c>
    </row>
    <row r="772">
      <c r="A772" s="12" t="s">
        <v>78</v>
      </c>
      <c r="B772" s="13">
        <v>0.0</v>
      </c>
      <c r="D772" s="20" t="s">
        <v>72</v>
      </c>
      <c r="E772" s="21">
        <f t="shared" ref="E772:E773" si="126">B771</f>
        <v>1000000</v>
      </c>
      <c r="F772" s="20" t="s">
        <v>79</v>
      </c>
      <c r="G772" s="21">
        <f t="shared" ref="G772:G773" si="127">B774</f>
        <v>4</v>
      </c>
      <c r="H772" s="4">
        <f>G772+(G773/60)</f>
        <v>4.166666667</v>
      </c>
      <c r="I772" s="58">
        <f>B779</f>
        <v>6</v>
      </c>
    </row>
    <row r="773">
      <c r="A773" s="12" t="s">
        <v>81</v>
      </c>
      <c r="B773" s="14"/>
      <c r="D773" s="20" t="s">
        <v>78</v>
      </c>
      <c r="E773" s="21">
        <f t="shared" si="126"/>
        <v>0</v>
      </c>
      <c r="F773" s="20" t="s">
        <v>82</v>
      </c>
      <c r="G773" s="21">
        <f t="shared" si="127"/>
        <v>10</v>
      </c>
      <c r="I773" s="19"/>
    </row>
    <row r="774">
      <c r="A774" s="24" t="s">
        <v>79</v>
      </c>
      <c r="B774" s="13">
        <v>4.0</v>
      </c>
      <c r="D774" s="20" t="s">
        <v>84</v>
      </c>
      <c r="E774" s="25">
        <f>E772-E773</f>
        <v>1000000</v>
      </c>
      <c r="F774" s="26"/>
      <c r="G774" s="16" t="s">
        <v>85</v>
      </c>
      <c r="H774" s="16" t="s">
        <v>86</v>
      </c>
      <c r="I774" s="57" t="s">
        <v>87</v>
      </c>
    </row>
    <row r="775">
      <c r="A775" s="24" t="s">
        <v>89</v>
      </c>
      <c r="B775" s="13">
        <v>10.0</v>
      </c>
      <c r="D775" s="51"/>
      <c r="F775" s="20" t="s">
        <v>79</v>
      </c>
      <c r="G775" s="21">
        <f t="shared" ref="G775:G776" si="128">B777</f>
        <v>4</v>
      </c>
      <c r="H775" s="25">
        <f>G775+(G776/60)</f>
        <v>4.166666667</v>
      </c>
      <c r="I775" s="19">
        <f>H772-H775</f>
        <v>0</v>
      </c>
    </row>
    <row r="776">
      <c r="A776" s="12" t="s">
        <v>85</v>
      </c>
      <c r="B776" s="27"/>
      <c r="D776" s="51"/>
      <c r="F776" s="20" t="s">
        <v>82</v>
      </c>
      <c r="G776" s="21">
        <f t="shared" si="128"/>
        <v>10</v>
      </c>
      <c r="I776" s="19"/>
    </row>
    <row r="777">
      <c r="A777" s="24" t="s">
        <v>79</v>
      </c>
      <c r="B777" s="13">
        <v>4.0</v>
      </c>
      <c r="D777" s="16" t="s">
        <v>170</v>
      </c>
      <c r="I777" s="19"/>
    </row>
    <row r="778">
      <c r="A778" s="24" t="s">
        <v>89</v>
      </c>
      <c r="B778" s="13">
        <v>10.0</v>
      </c>
      <c r="D778" s="16" t="s">
        <v>92</v>
      </c>
      <c r="E778" s="25">
        <f>E772/H782</f>
        <v>218181.8182</v>
      </c>
      <c r="I778" s="19"/>
    </row>
    <row r="779">
      <c r="A779" s="12" t="s">
        <v>98</v>
      </c>
      <c r="B779" s="13">
        <v>6.0</v>
      </c>
      <c r="D779" s="16" t="s">
        <v>94</v>
      </c>
      <c r="E779" s="25">
        <f>E772/I772</f>
        <v>166666.6667</v>
      </c>
      <c r="I779" s="19"/>
    </row>
    <row r="780">
      <c r="A780" s="32"/>
      <c r="D780" s="16" t="s">
        <v>96</v>
      </c>
      <c r="E780" s="25">
        <f>E778/I772</f>
        <v>36363.63636</v>
      </c>
      <c r="F780" s="4"/>
      <c r="G780" s="4"/>
      <c r="H780" s="4"/>
      <c r="I780" s="59"/>
    </row>
    <row r="781">
      <c r="A781" s="60"/>
      <c r="D781" s="16" t="s">
        <v>99</v>
      </c>
      <c r="E781" s="25">
        <f>E780/12</f>
        <v>3030.30303</v>
      </c>
      <c r="F781" s="4" t="s">
        <v>171</v>
      </c>
      <c r="I781" s="59"/>
    </row>
    <row r="782">
      <c r="A782" s="61"/>
      <c r="D782" s="16" t="s">
        <v>101</v>
      </c>
      <c r="E782" s="25">
        <f>E781*5</f>
        <v>15151.51515</v>
      </c>
      <c r="F782" s="4" t="s">
        <v>171</v>
      </c>
      <c r="G782" s="35" t="s">
        <v>105</v>
      </c>
      <c r="H782" s="25">
        <f>H772+(25/60)</f>
        <v>4.583333333</v>
      </c>
      <c r="I782" s="19"/>
    </row>
    <row r="783">
      <c r="A783" s="61"/>
      <c r="D783" s="17"/>
      <c r="G783" s="35" t="s">
        <v>108</v>
      </c>
      <c r="H783" s="25">
        <f>I775+(25/60)</f>
        <v>0.4166666667</v>
      </c>
      <c r="I783" s="19"/>
    </row>
    <row r="784">
      <c r="A784" s="61"/>
      <c r="D784" s="16" t="s">
        <v>111</v>
      </c>
      <c r="G784" s="16" t="s">
        <v>112</v>
      </c>
      <c r="I784" s="19"/>
    </row>
    <row r="785">
      <c r="A785" s="61"/>
      <c r="D785" s="16" t="s">
        <v>92</v>
      </c>
      <c r="E785" s="25">
        <f>E773/H775</f>
        <v>0</v>
      </c>
      <c r="G785" s="16" t="s">
        <v>92</v>
      </c>
      <c r="H785" s="25">
        <f>E774/H783</f>
        <v>2400000</v>
      </c>
      <c r="I785" s="19"/>
    </row>
    <row r="786">
      <c r="A786" s="61"/>
      <c r="D786" s="16" t="s">
        <v>94</v>
      </c>
      <c r="E786" s="25">
        <f>E773/I772</f>
        <v>0</v>
      </c>
      <c r="G786" s="16" t="s">
        <v>94</v>
      </c>
      <c r="H786" s="25">
        <f>E774/I772</f>
        <v>166666.6667</v>
      </c>
      <c r="I786" s="19"/>
    </row>
    <row r="787">
      <c r="A787" s="60"/>
      <c r="D787" s="16" t="s">
        <v>96</v>
      </c>
      <c r="E787" s="25">
        <f>E786/H775</f>
        <v>0</v>
      </c>
      <c r="G787" s="16" t="s">
        <v>96</v>
      </c>
      <c r="H787" s="25">
        <f>H786/H783</f>
        <v>400000</v>
      </c>
      <c r="I787" s="19"/>
    </row>
    <row r="788">
      <c r="A788" s="32"/>
      <c r="D788" s="16" t="s">
        <v>99</v>
      </c>
      <c r="E788" s="25">
        <f>E787/12</f>
        <v>0</v>
      </c>
      <c r="G788" s="16" t="s">
        <v>99</v>
      </c>
      <c r="H788" s="25">
        <f>H787/12</f>
        <v>33333.33333</v>
      </c>
      <c r="I788" s="19"/>
    </row>
    <row r="789">
      <c r="A789" s="42"/>
      <c r="D789" s="16" t="s">
        <v>101</v>
      </c>
      <c r="E789" s="25">
        <f>E788*5</f>
        <v>0</v>
      </c>
      <c r="G789" s="16" t="s">
        <v>101</v>
      </c>
      <c r="H789" s="25">
        <f>H788*5</f>
        <v>166666.6667</v>
      </c>
      <c r="I789" s="19"/>
    </row>
    <row r="790">
      <c r="A790" s="42"/>
      <c r="I790" s="19"/>
    </row>
    <row r="791">
      <c r="A791" s="42"/>
      <c r="D791" s="28" t="s">
        <v>124</v>
      </c>
      <c r="E791" s="41"/>
      <c r="F791" s="41"/>
      <c r="I791" s="19"/>
    </row>
    <row r="792">
      <c r="A792" s="42"/>
      <c r="D792" s="4" t="s">
        <v>126</v>
      </c>
      <c r="E792" s="25">
        <f t="shared" ref="E792:E794" si="129">H787-E787</f>
        <v>400000</v>
      </c>
      <c r="I792" s="19"/>
    </row>
    <row r="793">
      <c r="A793" s="42"/>
      <c r="D793" s="4" t="s">
        <v>128</v>
      </c>
      <c r="E793" s="25">
        <f t="shared" si="129"/>
        <v>33333.33333</v>
      </c>
      <c r="I793" s="19"/>
    </row>
    <row r="794">
      <c r="A794" s="32"/>
      <c r="D794" s="4" t="s">
        <v>129</v>
      </c>
      <c r="E794" s="25">
        <f t="shared" si="129"/>
        <v>166666.6667</v>
      </c>
      <c r="G794" s="43"/>
      <c r="I794" s="19"/>
    </row>
    <row r="795">
      <c r="A795" s="32"/>
      <c r="D795" s="28" t="s">
        <v>131</v>
      </c>
      <c r="I795" s="19"/>
    </row>
    <row r="796">
      <c r="A796" s="32"/>
      <c r="D796" s="4" t="s">
        <v>132</v>
      </c>
      <c r="E796" s="25">
        <f t="shared" ref="E796:E798" si="130">H787-E780</f>
        <v>363636.3636</v>
      </c>
      <c r="G796" s="28" t="s">
        <v>134</v>
      </c>
      <c r="I796" s="19"/>
    </row>
    <row r="797">
      <c r="A797" s="32"/>
      <c r="D797" s="4" t="s">
        <v>133</v>
      </c>
      <c r="E797" s="25">
        <f t="shared" si="130"/>
        <v>30303.0303</v>
      </c>
      <c r="G797" s="35" t="s">
        <v>137</v>
      </c>
      <c r="H797" s="25">
        <f>E782/H785</f>
        <v>0.006313131313</v>
      </c>
      <c r="I797" s="19"/>
    </row>
    <row r="798">
      <c r="A798" s="44"/>
      <c r="B798" s="45"/>
      <c r="C798" s="45"/>
      <c r="D798" s="47" t="s">
        <v>136</v>
      </c>
      <c r="E798" s="45">
        <f t="shared" si="130"/>
        <v>151515.1515</v>
      </c>
      <c r="F798" s="45"/>
      <c r="G798" s="48" t="s">
        <v>139</v>
      </c>
      <c r="H798" s="45">
        <f>H772-H797</f>
        <v>4.160353535</v>
      </c>
      <c r="I798" s="50"/>
    </row>
    <row r="800">
      <c r="A800" s="6" t="s">
        <v>70</v>
      </c>
      <c r="B800" s="34" t="s">
        <v>169</v>
      </c>
      <c r="C800" s="10"/>
      <c r="D800" s="9" t="s">
        <v>71</v>
      </c>
      <c r="E800" s="10"/>
      <c r="F800" s="10"/>
      <c r="G800" s="10"/>
      <c r="H800" s="10"/>
      <c r="I800" s="11"/>
    </row>
    <row r="801">
      <c r="A801" s="12" t="s">
        <v>72</v>
      </c>
      <c r="B801" s="13">
        <v>1000000.0</v>
      </c>
      <c r="D801" s="56" t="str">
        <f>B800</f>
        <v>Test Date</v>
      </c>
      <c r="E801" s="16" t="s">
        <v>73</v>
      </c>
      <c r="F801" s="17"/>
      <c r="G801" s="16" t="s">
        <v>74</v>
      </c>
      <c r="H801" s="16" t="s">
        <v>75</v>
      </c>
      <c r="I801" s="57" t="s">
        <v>76</v>
      </c>
    </row>
    <row r="802">
      <c r="A802" s="12" t="s">
        <v>78</v>
      </c>
      <c r="B802" s="13">
        <v>0.0</v>
      </c>
      <c r="D802" s="20" t="s">
        <v>72</v>
      </c>
      <c r="E802" s="21">
        <f t="shared" ref="E802:E803" si="131">B801</f>
        <v>1000000</v>
      </c>
      <c r="F802" s="20" t="s">
        <v>79</v>
      </c>
      <c r="G802" s="21">
        <f t="shared" ref="G802:G803" si="132">B804</f>
        <v>4</v>
      </c>
      <c r="H802" s="4">
        <f>G802+(G803/60)</f>
        <v>4.166666667</v>
      </c>
      <c r="I802" s="58">
        <f>B809</f>
        <v>6</v>
      </c>
    </row>
    <row r="803">
      <c r="A803" s="12" t="s">
        <v>81</v>
      </c>
      <c r="B803" s="14"/>
      <c r="D803" s="20" t="s">
        <v>78</v>
      </c>
      <c r="E803" s="21">
        <f t="shared" si="131"/>
        <v>0</v>
      </c>
      <c r="F803" s="20" t="s">
        <v>82</v>
      </c>
      <c r="G803" s="21">
        <f t="shared" si="132"/>
        <v>10</v>
      </c>
      <c r="I803" s="19"/>
    </row>
    <row r="804">
      <c r="A804" s="24" t="s">
        <v>79</v>
      </c>
      <c r="B804" s="13">
        <v>4.0</v>
      </c>
      <c r="D804" s="20" t="s">
        <v>84</v>
      </c>
      <c r="E804" s="25">
        <f>E802-E803</f>
        <v>1000000</v>
      </c>
      <c r="F804" s="26"/>
      <c r="G804" s="16" t="s">
        <v>85</v>
      </c>
      <c r="H804" s="16" t="s">
        <v>86</v>
      </c>
      <c r="I804" s="57" t="s">
        <v>87</v>
      </c>
    </row>
    <row r="805">
      <c r="A805" s="24" t="s">
        <v>89</v>
      </c>
      <c r="B805" s="13">
        <v>10.0</v>
      </c>
      <c r="D805" s="51"/>
      <c r="F805" s="20" t="s">
        <v>79</v>
      </c>
      <c r="G805" s="21">
        <f t="shared" ref="G805:G806" si="133">B807</f>
        <v>4</v>
      </c>
      <c r="H805" s="25">
        <f>G805+(G806/60)</f>
        <v>4.166666667</v>
      </c>
      <c r="I805" s="19">
        <f>H802-H805</f>
        <v>0</v>
      </c>
    </row>
    <row r="806">
      <c r="A806" s="12" t="s">
        <v>85</v>
      </c>
      <c r="B806" s="27"/>
      <c r="D806" s="51"/>
      <c r="F806" s="20" t="s">
        <v>82</v>
      </c>
      <c r="G806" s="21">
        <f t="shared" si="133"/>
        <v>10</v>
      </c>
      <c r="I806" s="19"/>
    </row>
    <row r="807">
      <c r="A807" s="24" t="s">
        <v>79</v>
      </c>
      <c r="B807" s="13">
        <v>4.0</v>
      </c>
      <c r="D807" s="16" t="s">
        <v>170</v>
      </c>
      <c r="I807" s="19"/>
    </row>
    <row r="808">
      <c r="A808" s="24" t="s">
        <v>89</v>
      </c>
      <c r="B808" s="13">
        <v>10.0</v>
      </c>
      <c r="D808" s="16" t="s">
        <v>92</v>
      </c>
      <c r="E808" s="25">
        <f>E802/H812</f>
        <v>218181.8182</v>
      </c>
      <c r="I808" s="19"/>
    </row>
    <row r="809">
      <c r="A809" s="12" t="s">
        <v>98</v>
      </c>
      <c r="B809" s="13">
        <v>6.0</v>
      </c>
      <c r="D809" s="16" t="s">
        <v>94</v>
      </c>
      <c r="E809" s="25">
        <f>E802/I802</f>
        <v>166666.6667</v>
      </c>
      <c r="I809" s="19"/>
    </row>
    <row r="810">
      <c r="A810" s="32"/>
      <c r="D810" s="16" t="s">
        <v>96</v>
      </c>
      <c r="E810" s="25">
        <f>E808/I802</f>
        <v>36363.63636</v>
      </c>
      <c r="F810" s="4"/>
      <c r="G810" s="4"/>
      <c r="H810" s="4"/>
      <c r="I810" s="59"/>
    </row>
    <row r="811">
      <c r="A811" s="60"/>
      <c r="D811" s="16" t="s">
        <v>99</v>
      </c>
      <c r="E811" s="25">
        <f>E810/12</f>
        <v>3030.30303</v>
      </c>
      <c r="F811" s="4" t="s">
        <v>171</v>
      </c>
      <c r="I811" s="59"/>
    </row>
    <row r="812">
      <c r="A812" s="61"/>
      <c r="D812" s="16" t="s">
        <v>101</v>
      </c>
      <c r="E812" s="25">
        <f>E811*5</f>
        <v>15151.51515</v>
      </c>
      <c r="F812" s="4" t="s">
        <v>171</v>
      </c>
      <c r="G812" s="35" t="s">
        <v>105</v>
      </c>
      <c r="H812" s="25">
        <f>H802+(25/60)</f>
        <v>4.583333333</v>
      </c>
      <c r="I812" s="19"/>
    </row>
    <row r="813">
      <c r="A813" s="61"/>
      <c r="D813" s="17"/>
      <c r="G813" s="35" t="s">
        <v>108</v>
      </c>
      <c r="H813" s="25">
        <f>I805+(25/60)</f>
        <v>0.4166666667</v>
      </c>
      <c r="I813" s="19"/>
    </row>
    <row r="814">
      <c r="A814" s="61"/>
      <c r="D814" s="16" t="s">
        <v>111</v>
      </c>
      <c r="G814" s="16" t="s">
        <v>112</v>
      </c>
      <c r="I814" s="19"/>
    </row>
    <row r="815">
      <c r="A815" s="61"/>
      <c r="D815" s="16" t="s">
        <v>92</v>
      </c>
      <c r="E815" s="25">
        <f>E803/H805</f>
        <v>0</v>
      </c>
      <c r="G815" s="16" t="s">
        <v>92</v>
      </c>
      <c r="H815" s="25">
        <f>E804/H813</f>
        <v>2400000</v>
      </c>
      <c r="I815" s="19"/>
    </row>
    <row r="816">
      <c r="A816" s="61"/>
      <c r="D816" s="16" t="s">
        <v>94</v>
      </c>
      <c r="E816" s="25">
        <f>E803/I802</f>
        <v>0</v>
      </c>
      <c r="G816" s="16" t="s">
        <v>94</v>
      </c>
      <c r="H816" s="25">
        <f>E804/I802</f>
        <v>166666.6667</v>
      </c>
      <c r="I816" s="19"/>
    </row>
    <row r="817">
      <c r="A817" s="60"/>
      <c r="D817" s="16" t="s">
        <v>96</v>
      </c>
      <c r="E817" s="25">
        <f>E816/H805</f>
        <v>0</v>
      </c>
      <c r="G817" s="16" t="s">
        <v>96</v>
      </c>
      <c r="H817" s="25">
        <f>H816/H813</f>
        <v>400000</v>
      </c>
      <c r="I817" s="19"/>
    </row>
    <row r="818">
      <c r="A818" s="32"/>
      <c r="D818" s="16" t="s">
        <v>99</v>
      </c>
      <c r="E818" s="25">
        <f>E817/12</f>
        <v>0</v>
      </c>
      <c r="G818" s="16" t="s">
        <v>99</v>
      </c>
      <c r="H818" s="25">
        <f>H817/12</f>
        <v>33333.33333</v>
      </c>
      <c r="I818" s="19"/>
    </row>
    <row r="819">
      <c r="A819" s="42"/>
      <c r="D819" s="16" t="s">
        <v>101</v>
      </c>
      <c r="E819" s="25">
        <f>E818*5</f>
        <v>0</v>
      </c>
      <c r="G819" s="16" t="s">
        <v>101</v>
      </c>
      <c r="H819" s="25">
        <f>H818*5</f>
        <v>166666.6667</v>
      </c>
      <c r="I819" s="19"/>
    </row>
    <row r="820">
      <c r="A820" s="42"/>
      <c r="I820" s="19"/>
    </row>
    <row r="821">
      <c r="A821" s="42"/>
      <c r="D821" s="28" t="s">
        <v>124</v>
      </c>
      <c r="E821" s="41"/>
      <c r="F821" s="41"/>
      <c r="I821" s="19"/>
    </row>
    <row r="822">
      <c r="A822" s="42"/>
      <c r="D822" s="4" t="s">
        <v>126</v>
      </c>
      <c r="E822" s="25">
        <f t="shared" ref="E822:E824" si="134">H817-E817</f>
        <v>400000</v>
      </c>
      <c r="I822" s="19"/>
    </row>
    <row r="823">
      <c r="A823" s="42"/>
      <c r="D823" s="4" t="s">
        <v>128</v>
      </c>
      <c r="E823" s="25">
        <f t="shared" si="134"/>
        <v>33333.33333</v>
      </c>
      <c r="I823" s="19"/>
    </row>
    <row r="824">
      <c r="A824" s="32"/>
      <c r="D824" s="4" t="s">
        <v>129</v>
      </c>
      <c r="E824" s="25">
        <f t="shared" si="134"/>
        <v>166666.6667</v>
      </c>
      <c r="G824" s="43"/>
      <c r="I824" s="19"/>
    </row>
    <row r="825">
      <c r="A825" s="32"/>
      <c r="D825" s="28" t="s">
        <v>131</v>
      </c>
      <c r="I825" s="19"/>
    </row>
    <row r="826">
      <c r="A826" s="32"/>
      <c r="D826" s="4" t="s">
        <v>132</v>
      </c>
      <c r="E826" s="25">
        <f t="shared" ref="E826:E828" si="135">H817-E810</f>
        <v>363636.3636</v>
      </c>
      <c r="G826" s="28" t="s">
        <v>134</v>
      </c>
      <c r="I826" s="19"/>
    </row>
    <row r="827">
      <c r="A827" s="32"/>
      <c r="D827" s="4" t="s">
        <v>133</v>
      </c>
      <c r="E827" s="25">
        <f t="shared" si="135"/>
        <v>30303.0303</v>
      </c>
      <c r="G827" s="35" t="s">
        <v>137</v>
      </c>
      <c r="H827" s="25">
        <f>E812/H815</f>
        <v>0.006313131313</v>
      </c>
      <c r="I827" s="19"/>
    </row>
    <row r="828">
      <c r="A828" s="44"/>
      <c r="B828" s="45"/>
      <c r="C828" s="45"/>
      <c r="D828" s="47" t="s">
        <v>136</v>
      </c>
      <c r="E828" s="45">
        <f t="shared" si="135"/>
        <v>151515.1515</v>
      </c>
      <c r="F828" s="45"/>
      <c r="G828" s="48" t="s">
        <v>139</v>
      </c>
      <c r="H828" s="45">
        <f>H802-H827</f>
        <v>4.160353535</v>
      </c>
      <c r="I828" s="50"/>
    </row>
    <row r="830">
      <c r="A830" s="6" t="s">
        <v>70</v>
      </c>
      <c r="B830" s="34" t="s">
        <v>169</v>
      </c>
      <c r="C830" s="10"/>
      <c r="D830" s="9" t="s">
        <v>71</v>
      </c>
      <c r="E830" s="10"/>
      <c r="F830" s="10"/>
      <c r="G830" s="10"/>
      <c r="H830" s="10"/>
      <c r="I830" s="11"/>
    </row>
    <row r="831">
      <c r="A831" s="12" t="s">
        <v>72</v>
      </c>
      <c r="B831" s="13">
        <v>1000000.0</v>
      </c>
      <c r="D831" s="56" t="str">
        <f>B830</f>
        <v>Test Date</v>
      </c>
      <c r="E831" s="16" t="s">
        <v>73</v>
      </c>
      <c r="F831" s="17"/>
      <c r="G831" s="16" t="s">
        <v>74</v>
      </c>
      <c r="H831" s="16" t="s">
        <v>75</v>
      </c>
      <c r="I831" s="57" t="s">
        <v>76</v>
      </c>
    </row>
    <row r="832">
      <c r="A832" s="12" t="s">
        <v>78</v>
      </c>
      <c r="B832" s="13">
        <v>0.0</v>
      </c>
      <c r="D832" s="20" t="s">
        <v>72</v>
      </c>
      <c r="E832" s="21">
        <f t="shared" ref="E832:E833" si="136">B831</f>
        <v>1000000</v>
      </c>
      <c r="F832" s="20" t="s">
        <v>79</v>
      </c>
      <c r="G832" s="21">
        <f t="shared" ref="G832:G833" si="137">B834</f>
        <v>4</v>
      </c>
      <c r="H832" s="4">
        <f>G832+(G833/60)</f>
        <v>4.166666667</v>
      </c>
      <c r="I832" s="58">
        <f>B839</f>
        <v>6</v>
      </c>
    </row>
    <row r="833">
      <c r="A833" s="12" t="s">
        <v>81</v>
      </c>
      <c r="B833" s="14"/>
      <c r="D833" s="20" t="s">
        <v>78</v>
      </c>
      <c r="E833" s="21">
        <f t="shared" si="136"/>
        <v>0</v>
      </c>
      <c r="F833" s="20" t="s">
        <v>82</v>
      </c>
      <c r="G833" s="21">
        <f t="shared" si="137"/>
        <v>10</v>
      </c>
      <c r="I833" s="19"/>
    </row>
    <row r="834">
      <c r="A834" s="24" t="s">
        <v>79</v>
      </c>
      <c r="B834" s="13">
        <v>4.0</v>
      </c>
      <c r="D834" s="20" t="s">
        <v>84</v>
      </c>
      <c r="E834" s="25">
        <f>E832-E833</f>
        <v>1000000</v>
      </c>
      <c r="F834" s="26"/>
      <c r="G834" s="16" t="s">
        <v>85</v>
      </c>
      <c r="H834" s="16" t="s">
        <v>86</v>
      </c>
      <c r="I834" s="57" t="s">
        <v>87</v>
      </c>
    </row>
    <row r="835">
      <c r="A835" s="24" t="s">
        <v>89</v>
      </c>
      <c r="B835" s="13">
        <v>10.0</v>
      </c>
      <c r="D835" s="51"/>
      <c r="F835" s="20" t="s">
        <v>79</v>
      </c>
      <c r="G835" s="21">
        <f t="shared" ref="G835:G836" si="138">B837</f>
        <v>4</v>
      </c>
      <c r="H835" s="25">
        <f>G835+(G836/60)</f>
        <v>4.166666667</v>
      </c>
      <c r="I835" s="19">
        <f>H832-H835</f>
        <v>0</v>
      </c>
    </row>
    <row r="836">
      <c r="A836" s="12" t="s">
        <v>85</v>
      </c>
      <c r="B836" s="27"/>
      <c r="D836" s="51"/>
      <c r="F836" s="20" t="s">
        <v>82</v>
      </c>
      <c r="G836" s="21">
        <f t="shared" si="138"/>
        <v>10</v>
      </c>
      <c r="I836" s="19"/>
    </row>
    <row r="837">
      <c r="A837" s="24" t="s">
        <v>79</v>
      </c>
      <c r="B837" s="13">
        <v>4.0</v>
      </c>
      <c r="D837" s="16" t="s">
        <v>170</v>
      </c>
      <c r="I837" s="19"/>
    </row>
    <row r="838">
      <c r="A838" s="24" t="s">
        <v>89</v>
      </c>
      <c r="B838" s="13">
        <v>10.0</v>
      </c>
      <c r="D838" s="16" t="s">
        <v>92</v>
      </c>
      <c r="E838" s="25">
        <f>E832/H842</f>
        <v>218181.8182</v>
      </c>
      <c r="I838" s="19"/>
    </row>
    <row r="839">
      <c r="A839" s="12" t="s">
        <v>98</v>
      </c>
      <c r="B839" s="13">
        <v>6.0</v>
      </c>
      <c r="D839" s="16" t="s">
        <v>94</v>
      </c>
      <c r="E839" s="25">
        <f>E832/I832</f>
        <v>166666.6667</v>
      </c>
      <c r="I839" s="19"/>
    </row>
    <row r="840">
      <c r="A840" s="32"/>
      <c r="D840" s="16" t="s">
        <v>96</v>
      </c>
      <c r="E840" s="25">
        <f>E838/I832</f>
        <v>36363.63636</v>
      </c>
      <c r="F840" s="4"/>
      <c r="G840" s="4"/>
      <c r="H840" s="4"/>
      <c r="I840" s="59"/>
    </row>
    <row r="841">
      <c r="A841" s="60"/>
      <c r="D841" s="16" t="s">
        <v>99</v>
      </c>
      <c r="E841" s="25">
        <f>E840/12</f>
        <v>3030.30303</v>
      </c>
      <c r="F841" s="4" t="s">
        <v>171</v>
      </c>
      <c r="I841" s="59"/>
    </row>
    <row r="842">
      <c r="A842" s="61"/>
      <c r="D842" s="16" t="s">
        <v>101</v>
      </c>
      <c r="E842" s="25">
        <f>E841*5</f>
        <v>15151.51515</v>
      </c>
      <c r="F842" s="4" t="s">
        <v>171</v>
      </c>
      <c r="G842" s="35" t="s">
        <v>105</v>
      </c>
      <c r="H842" s="25">
        <f>H832+(25/60)</f>
        <v>4.583333333</v>
      </c>
      <c r="I842" s="19"/>
    </row>
    <row r="843">
      <c r="A843" s="61"/>
      <c r="D843" s="17"/>
      <c r="G843" s="35" t="s">
        <v>108</v>
      </c>
      <c r="H843" s="25">
        <f>I835+(25/60)</f>
        <v>0.4166666667</v>
      </c>
      <c r="I843" s="19"/>
    </row>
    <row r="844">
      <c r="A844" s="61"/>
      <c r="D844" s="16" t="s">
        <v>111</v>
      </c>
      <c r="G844" s="16" t="s">
        <v>112</v>
      </c>
      <c r="I844" s="19"/>
    </row>
    <row r="845">
      <c r="A845" s="61"/>
      <c r="D845" s="16" t="s">
        <v>92</v>
      </c>
      <c r="E845" s="25">
        <f>E833/H835</f>
        <v>0</v>
      </c>
      <c r="G845" s="16" t="s">
        <v>92</v>
      </c>
      <c r="H845" s="25">
        <f>E834/H843</f>
        <v>2400000</v>
      </c>
      <c r="I845" s="19"/>
    </row>
    <row r="846">
      <c r="A846" s="61"/>
      <c r="D846" s="16" t="s">
        <v>94</v>
      </c>
      <c r="E846" s="25">
        <f>E833/I832</f>
        <v>0</v>
      </c>
      <c r="G846" s="16" t="s">
        <v>94</v>
      </c>
      <c r="H846" s="25">
        <f>E834/I832</f>
        <v>166666.6667</v>
      </c>
      <c r="I846" s="19"/>
    </row>
    <row r="847">
      <c r="A847" s="60"/>
      <c r="D847" s="16" t="s">
        <v>96</v>
      </c>
      <c r="E847" s="25">
        <f>E846/H835</f>
        <v>0</v>
      </c>
      <c r="G847" s="16" t="s">
        <v>96</v>
      </c>
      <c r="H847" s="25">
        <f>H846/H843</f>
        <v>400000</v>
      </c>
      <c r="I847" s="19"/>
    </row>
    <row r="848">
      <c r="A848" s="32"/>
      <c r="D848" s="16" t="s">
        <v>99</v>
      </c>
      <c r="E848" s="25">
        <f>E847/12</f>
        <v>0</v>
      </c>
      <c r="G848" s="16" t="s">
        <v>99</v>
      </c>
      <c r="H848" s="25">
        <f>H847/12</f>
        <v>33333.33333</v>
      </c>
      <c r="I848" s="19"/>
    </row>
    <row r="849">
      <c r="A849" s="42"/>
      <c r="D849" s="16" t="s">
        <v>101</v>
      </c>
      <c r="E849" s="25">
        <f>E848*5</f>
        <v>0</v>
      </c>
      <c r="G849" s="16" t="s">
        <v>101</v>
      </c>
      <c r="H849" s="25">
        <f>H848*5</f>
        <v>166666.6667</v>
      </c>
      <c r="I849" s="19"/>
    </row>
    <row r="850">
      <c r="A850" s="42"/>
      <c r="I850" s="19"/>
    </row>
    <row r="851">
      <c r="A851" s="42"/>
      <c r="D851" s="28" t="s">
        <v>124</v>
      </c>
      <c r="E851" s="41"/>
      <c r="F851" s="41"/>
      <c r="I851" s="19"/>
    </row>
    <row r="852">
      <c r="A852" s="42"/>
      <c r="D852" s="4" t="s">
        <v>126</v>
      </c>
      <c r="E852" s="25">
        <f t="shared" ref="E852:E854" si="139">H847-E847</f>
        <v>400000</v>
      </c>
      <c r="I852" s="19"/>
    </row>
    <row r="853">
      <c r="A853" s="42"/>
      <c r="D853" s="4" t="s">
        <v>128</v>
      </c>
      <c r="E853" s="25">
        <f t="shared" si="139"/>
        <v>33333.33333</v>
      </c>
      <c r="I853" s="19"/>
    </row>
    <row r="854">
      <c r="A854" s="32"/>
      <c r="D854" s="4" t="s">
        <v>129</v>
      </c>
      <c r="E854" s="25">
        <f t="shared" si="139"/>
        <v>166666.6667</v>
      </c>
      <c r="G854" s="43"/>
      <c r="I854" s="19"/>
    </row>
    <row r="855">
      <c r="A855" s="32"/>
      <c r="D855" s="28" t="s">
        <v>131</v>
      </c>
      <c r="I855" s="19"/>
    </row>
    <row r="856">
      <c r="A856" s="32"/>
      <c r="D856" s="4" t="s">
        <v>132</v>
      </c>
      <c r="E856" s="25">
        <f t="shared" ref="E856:E858" si="140">H847-E840</f>
        <v>363636.3636</v>
      </c>
      <c r="G856" s="28" t="s">
        <v>134</v>
      </c>
      <c r="I856" s="19"/>
    </row>
    <row r="857">
      <c r="A857" s="32"/>
      <c r="D857" s="4" t="s">
        <v>133</v>
      </c>
      <c r="E857" s="25">
        <f t="shared" si="140"/>
        <v>30303.0303</v>
      </c>
      <c r="G857" s="35" t="s">
        <v>137</v>
      </c>
      <c r="H857" s="25">
        <f>E842/H845</f>
        <v>0.006313131313</v>
      </c>
      <c r="I857" s="19"/>
    </row>
    <row r="858">
      <c r="A858" s="44"/>
      <c r="B858" s="45"/>
      <c r="C858" s="45"/>
      <c r="D858" s="47" t="s">
        <v>136</v>
      </c>
      <c r="E858" s="45">
        <f t="shared" si="140"/>
        <v>151515.1515</v>
      </c>
      <c r="F858" s="45"/>
      <c r="G858" s="48" t="s">
        <v>139</v>
      </c>
      <c r="H858" s="45">
        <f>H832-H857</f>
        <v>4.160353535</v>
      </c>
      <c r="I858" s="50"/>
    </row>
    <row r="860">
      <c r="A860" s="6" t="s">
        <v>70</v>
      </c>
      <c r="B860" s="34" t="s">
        <v>169</v>
      </c>
      <c r="C860" s="10"/>
      <c r="D860" s="9" t="s">
        <v>71</v>
      </c>
      <c r="E860" s="10"/>
      <c r="F860" s="10"/>
      <c r="G860" s="10"/>
      <c r="H860" s="10"/>
      <c r="I860" s="11"/>
    </row>
    <row r="861">
      <c r="A861" s="12" t="s">
        <v>72</v>
      </c>
      <c r="B861" s="13">
        <v>1000000.0</v>
      </c>
      <c r="D861" s="56" t="str">
        <f>B860</f>
        <v>Test Date</v>
      </c>
      <c r="E861" s="16" t="s">
        <v>73</v>
      </c>
      <c r="F861" s="17"/>
      <c r="G861" s="16" t="s">
        <v>74</v>
      </c>
      <c r="H861" s="16" t="s">
        <v>75</v>
      </c>
      <c r="I861" s="57" t="s">
        <v>76</v>
      </c>
    </row>
    <row r="862">
      <c r="A862" s="12" t="s">
        <v>78</v>
      </c>
      <c r="B862" s="13">
        <v>0.0</v>
      </c>
      <c r="D862" s="20" t="s">
        <v>72</v>
      </c>
      <c r="E862" s="21">
        <f t="shared" ref="E862:E863" si="141">B861</f>
        <v>1000000</v>
      </c>
      <c r="F862" s="20" t="s">
        <v>79</v>
      </c>
      <c r="G862" s="21">
        <f t="shared" ref="G862:G863" si="142">B864</f>
        <v>4</v>
      </c>
      <c r="H862" s="4">
        <f>G862+(G863/60)</f>
        <v>4.166666667</v>
      </c>
      <c r="I862" s="58">
        <f>B869</f>
        <v>6</v>
      </c>
    </row>
    <row r="863">
      <c r="A863" s="12" t="s">
        <v>81</v>
      </c>
      <c r="B863" s="14"/>
      <c r="D863" s="20" t="s">
        <v>78</v>
      </c>
      <c r="E863" s="21">
        <f t="shared" si="141"/>
        <v>0</v>
      </c>
      <c r="F863" s="20" t="s">
        <v>82</v>
      </c>
      <c r="G863" s="21">
        <f t="shared" si="142"/>
        <v>10</v>
      </c>
      <c r="I863" s="19"/>
    </row>
    <row r="864">
      <c r="A864" s="24" t="s">
        <v>79</v>
      </c>
      <c r="B864" s="13">
        <v>4.0</v>
      </c>
      <c r="D864" s="20" t="s">
        <v>84</v>
      </c>
      <c r="E864" s="25">
        <f>E862-E863</f>
        <v>1000000</v>
      </c>
      <c r="F864" s="26"/>
      <c r="G864" s="16" t="s">
        <v>85</v>
      </c>
      <c r="H864" s="16" t="s">
        <v>86</v>
      </c>
      <c r="I864" s="57" t="s">
        <v>87</v>
      </c>
    </row>
    <row r="865">
      <c r="A865" s="24" t="s">
        <v>89</v>
      </c>
      <c r="B865" s="13">
        <v>10.0</v>
      </c>
      <c r="D865" s="51"/>
      <c r="F865" s="20" t="s">
        <v>79</v>
      </c>
      <c r="G865" s="21">
        <f t="shared" ref="G865:G866" si="143">B867</f>
        <v>4</v>
      </c>
      <c r="H865" s="25">
        <f>G865+(G866/60)</f>
        <v>4.166666667</v>
      </c>
      <c r="I865" s="19">
        <f>H862-H865</f>
        <v>0</v>
      </c>
    </row>
    <row r="866">
      <c r="A866" s="12" t="s">
        <v>85</v>
      </c>
      <c r="B866" s="27"/>
      <c r="D866" s="51"/>
      <c r="F866" s="20" t="s">
        <v>82</v>
      </c>
      <c r="G866" s="21">
        <f t="shared" si="143"/>
        <v>10</v>
      </c>
      <c r="I866" s="19"/>
    </row>
    <row r="867">
      <c r="A867" s="24" t="s">
        <v>79</v>
      </c>
      <c r="B867" s="13">
        <v>4.0</v>
      </c>
      <c r="D867" s="16" t="s">
        <v>170</v>
      </c>
      <c r="I867" s="19"/>
    </row>
    <row r="868">
      <c r="A868" s="24" t="s">
        <v>89</v>
      </c>
      <c r="B868" s="13">
        <v>10.0</v>
      </c>
      <c r="D868" s="16" t="s">
        <v>92</v>
      </c>
      <c r="E868" s="25">
        <f>E862/H872</f>
        <v>218181.8182</v>
      </c>
      <c r="I868" s="19"/>
    </row>
    <row r="869">
      <c r="A869" s="12" t="s">
        <v>98</v>
      </c>
      <c r="B869" s="13">
        <v>6.0</v>
      </c>
      <c r="D869" s="16" t="s">
        <v>94</v>
      </c>
      <c r="E869" s="25">
        <f>E862/I862</f>
        <v>166666.6667</v>
      </c>
      <c r="I869" s="19"/>
    </row>
    <row r="870">
      <c r="A870" s="32"/>
      <c r="D870" s="16" t="s">
        <v>96</v>
      </c>
      <c r="E870" s="25">
        <f>E868/I862</f>
        <v>36363.63636</v>
      </c>
      <c r="F870" s="4"/>
      <c r="G870" s="4"/>
      <c r="H870" s="4"/>
      <c r="I870" s="59"/>
    </row>
    <row r="871">
      <c r="A871" s="60"/>
      <c r="D871" s="16" t="s">
        <v>99</v>
      </c>
      <c r="E871" s="25">
        <f>E870/12</f>
        <v>3030.30303</v>
      </c>
      <c r="F871" s="4" t="s">
        <v>171</v>
      </c>
      <c r="I871" s="59"/>
    </row>
    <row r="872">
      <c r="A872" s="61"/>
      <c r="D872" s="16" t="s">
        <v>101</v>
      </c>
      <c r="E872" s="25">
        <f>E871*5</f>
        <v>15151.51515</v>
      </c>
      <c r="F872" s="4" t="s">
        <v>171</v>
      </c>
      <c r="G872" s="35" t="s">
        <v>105</v>
      </c>
      <c r="H872" s="25">
        <f>H862+(25/60)</f>
        <v>4.583333333</v>
      </c>
      <c r="I872" s="19"/>
    </row>
    <row r="873">
      <c r="A873" s="61"/>
      <c r="D873" s="17"/>
      <c r="G873" s="35" t="s">
        <v>108</v>
      </c>
      <c r="H873" s="25">
        <f>I865+(25/60)</f>
        <v>0.4166666667</v>
      </c>
      <c r="I873" s="19"/>
    </row>
    <row r="874">
      <c r="A874" s="61"/>
      <c r="D874" s="16" t="s">
        <v>111</v>
      </c>
      <c r="G874" s="16" t="s">
        <v>112</v>
      </c>
      <c r="I874" s="19"/>
    </row>
    <row r="875">
      <c r="A875" s="61"/>
      <c r="D875" s="16" t="s">
        <v>92</v>
      </c>
      <c r="E875" s="25">
        <f>E863/H865</f>
        <v>0</v>
      </c>
      <c r="G875" s="16" t="s">
        <v>92</v>
      </c>
      <c r="H875" s="25">
        <f>E864/H873</f>
        <v>2400000</v>
      </c>
      <c r="I875" s="19"/>
    </row>
    <row r="876">
      <c r="A876" s="61"/>
      <c r="D876" s="16" t="s">
        <v>94</v>
      </c>
      <c r="E876" s="25">
        <f>E863/I862</f>
        <v>0</v>
      </c>
      <c r="G876" s="16" t="s">
        <v>94</v>
      </c>
      <c r="H876" s="25">
        <f>E864/I862</f>
        <v>166666.6667</v>
      </c>
      <c r="I876" s="19"/>
    </row>
    <row r="877">
      <c r="A877" s="60"/>
      <c r="D877" s="16" t="s">
        <v>96</v>
      </c>
      <c r="E877" s="25">
        <f>E876/H865</f>
        <v>0</v>
      </c>
      <c r="G877" s="16" t="s">
        <v>96</v>
      </c>
      <c r="H877" s="25">
        <f>H876/H873</f>
        <v>400000</v>
      </c>
      <c r="I877" s="19"/>
    </row>
    <row r="878">
      <c r="A878" s="32"/>
      <c r="D878" s="16" t="s">
        <v>99</v>
      </c>
      <c r="E878" s="25">
        <f>E877/12</f>
        <v>0</v>
      </c>
      <c r="G878" s="16" t="s">
        <v>99</v>
      </c>
      <c r="H878" s="25">
        <f>H877/12</f>
        <v>33333.33333</v>
      </c>
      <c r="I878" s="19"/>
    </row>
    <row r="879">
      <c r="A879" s="42"/>
      <c r="D879" s="16" t="s">
        <v>101</v>
      </c>
      <c r="E879" s="25">
        <f>E878*5</f>
        <v>0</v>
      </c>
      <c r="G879" s="16" t="s">
        <v>101</v>
      </c>
      <c r="H879" s="25">
        <f>H878*5</f>
        <v>166666.6667</v>
      </c>
      <c r="I879" s="19"/>
    </row>
    <row r="880">
      <c r="A880" s="42"/>
      <c r="I880" s="19"/>
    </row>
    <row r="881">
      <c r="A881" s="42"/>
      <c r="D881" s="28" t="s">
        <v>124</v>
      </c>
      <c r="E881" s="41"/>
      <c r="F881" s="41"/>
      <c r="I881" s="19"/>
    </row>
    <row r="882">
      <c r="A882" s="42"/>
      <c r="D882" s="4" t="s">
        <v>126</v>
      </c>
      <c r="E882" s="25">
        <f t="shared" ref="E882:E884" si="144">H877-E877</f>
        <v>400000</v>
      </c>
      <c r="I882" s="19"/>
    </row>
    <row r="883">
      <c r="A883" s="42"/>
      <c r="D883" s="4" t="s">
        <v>128</v>
      </c>
      <c r="E883" s="25">
        <f t="shared" si="144"/>
        <v>33333.33333</v>
      </c>
      <c r="I883" s="19"/>
    </row>
    <row r="884">
      <c r="A884" s="32"/>
      <c r="D884" s="4" t="s">
        <v>129</v>
      </c>
      <c r="E884" s="25">
        <f t="shared" si="144"/>
        <v>166666.6667</v>
      </c>
      <c r="G884" s="43"/>
      <c r="I884" s="19"/>
    </row>
    <row r="885">
      <c r="A885" s="32"/>
      <c r="D885" s="28" t="s">
        <v>131</v>
      </c>
      <c r="I885" s="19"/>
    </row>
    <row r="886">
      <c r="A886" s="32"/>
      <c r="D886" s="4" t="s">
        <v>132</v>
      </c>
      <c r="E886" s="25">
        <f t="shared" ref="E886:E888" si="145">H877-E870</f>
        <v>363636.3636</v>
      </c>
      <c r="G886" s="28" t="s">
        <v>134</v>
      </c>
      <c r="I886" s="19"/>
    </row>
    <row r="887">
      <c r="A887" s="32"/>
      <c r="D887" s="4" t="s">
        <v>133</v>
      </c>
      <c r="E887" s="25">
        <f t="shared" si="145"/>
        <v>30303.0303</v>
      </c>
      <c r="G887" s="35" t="s">
        <v>137</v>
      </c>
      <c r="H887" s="25">
        <f>E872/H875</f>
        <v>0.006313131313</v>
      </c>
      <c r="I887" s="19"/>
    </row>
    <row r="888">
      <c r="A888" s="44"/>
      <c r="B888" s="45"/>
      <c r="C888" s="45"/>
      <c r="D888" s="47" t="s">
        <v>136</v>
      </c>
      <c r="E888" s="45">
        <f t="shared" si="145"/>
        <v>151515.1515</v>
      </c>
      <c r="F888" s="45"/>
      <c r="G888" s="48" t="s">
        <v>139</v>
      </c>
      <c r="H888" s="45">
        <f>H862-H887</f>
        <v>4.160353535</v>
      </c>
      <c r="I888" s="50"/>
    </row>
    <row r="890">
      <c r="A890" s="6" t="s">
        <v>70</v>
      </c>
      <c r="B890" s="34" t="s">
        <v>169</v>
      </c>
      <c r="C890" s="10"/>
      <c r="D890" s="9" t="s">
        <v>71</v>
      </c>
      <c r="E890" s="10"/>
      <c r="F890" s="10"/>
      <c r="G890" s="10"/>
      <c r="H890" s="10"/>
      <c r="I890" s="11"/>
    </row>
    <row r="891">
      <c r="A891" s="12" t="s">
        <v>72</v>
      </c>
      <c r="B891" s="13">
        <v>1000000.0</v>
      </c>
      <c r="D891" s="56" t="str">
        <f>B890</f>
        <v>Test Date</v>
      </c>
      <c r="E891" s="16" t="s">
        <v>73</v>
      </c>
      <c r="F891" s="17"/>
      <c r="G891" s="16" t="s">
        <v>74</v>
      </c>
      <c r="H891" s="16" t="s">
        <v>75</v>
      </c>
      <c r="I891" s="57" t="s">
        <v>76</v>
      </c>
    </row>
    <row r="892">
      <c r="A892" s="12" t="s">
        <v>78</v>
      </c>
      <c r="B892" s="13">
        <v>0.0</v>
      </c>
      <c r="D892" s="20" t="s">
        <v>72</v>
      </c>
      <c r="E892" s="21">
        <f t="shared" ref="E892:E893" si="146">B891</f>
        <v>1000000</v>
      </c>
      <c r="F892" s="20" t="s">
        <v>79</v>
      </c>
      <c r="G892" s="21">
        <f t="shared" ref="G892:G893" si="147">B894</f>
        <v>4</v>
      </c>
      <c r="H892" s="4">
        <f>G892+(G893/60)</f>
        <v>4.166666667</v>
      </c>
      <c r="I892" s="58">
        <f>B899</f>
        <v>6</v>
      </c>
    </row>
    <row r="893">
      <c r="A893" s="12" t="s">
        <v>81</v>
      </c>
      <c r="B893" s="14"/>
      <c r="D893" s="20" t="s">
        <v>78</v>
      </c>
      <c r="E893" s="21">
        <f t="shared" si="146"/>
        <v>0</v>
      </c>
      <c r="F893" s="20" t="s">
        <v>82</v>
      </c>
      <c r="G893" s="21">
        <f t="shared" si="147"/>
        <v>10</v>
      </c>
      <c r="I893" s="19"/>
    </row>
    <row r="894">
      <c r="A894" s="24" t="s">
        <v>79</v>
      </c>
      <c r="B894" s="13">
        <v>4.0</v>
      </c>
      <c r="D894" s="20" t="s">
        <v>84</v>
      </c>
      <c r="E894" s="25">
        <f>E892-E893</f>
        <v>1000000</v>
      </c>
      <c r="F894" s="26"/>
      <c r="G894" s="16" t="s">
        <v>85</v>
      </c>
      <c r="H894" s="16" t="s">
        <v>86</v>
      </c>
      <c r="I894" s="57" t="s">
        <v>87</v>
      </c>
    </row>
    <row r="895">
      <c r="A895" s="24" t="s">
        <v>89</v>
      </c>
      <c r="B895" s="13">
        <v>10.0</v>
      </c>
      <c r="D895" s="51"/>
      <c r="F895" s="20" t="s">
        <v>79</v>
      </c>
      <c r="G895" s="21">
        <f t="shared" ref="G895:G896" si="148">B897</f>
        <v>4</v>
      </c>
      <c r="H895" s="25">
        <f>G895+(G896/60)</f>
        <v>4.166666667</v>
      </c>
      <c r="I895" s="19">
        <f>H892-H895</f>
        <v>0</v>
      </c>
    </row>
    <row r="896">
      <c r="A896" s="12" t="s">
        <v>85</v>
      </c>
      <c r="B896" s="27"/>
      <c r="D896" s="51"/>
      <c r="F896" s="20" t="s">
        <v>82</v>
      </c>
      <c r="G896" s="21">
        <f t="shared" si="148"/>
        <v>10</v>
      </c>
      <c r="I896" s="19"/>
    </row>
    <row r="897">
      <c r="A897" s="24" t="s">
        <v>79</v>
      </c>
      <c r="B897" s="13">
        <v>4.0</v>
      </c>
      <c r="D897" s="16" t="s">
        <v>170</v>
      </c>
      <c r="I897" s="19"/>
    </row>
    <row r="898">
      <c r="A898" s="24" t="s">
        <v>89</v>
      </c>
      <c r="B898" s="13">
        <v>10.0</v>
      </c>
      <c r="D898" s="16" t="s">
        <v>92</v>
      </c>
      <c r="E898" s="25">
        <f>E892/H902</f>
        <v>218181.8182</v>
      </c>
      <c r="I898" s="19"/>
    </row>
    <row r="899">
      <c r="A899" s="12" t="s">
        <v>98</v>
      </c>
      <c r="B899" s="13">
        <v>6.0</v>
      </c>
      <c r="D899" s="16" t="s">
        <v>94</v>
      </c>
      <c r="E899" s="25">
        <f>E892/I892</f>
        <v>166666.6667</v>
      </c>
      <c r="I899" s="19"/>
    </row>
    <row r="900">
      <c r="A900" s="32"/>
      <c r="D900" s="16" t="s">
        <v>96</v>
      </c>
      <c r="E900" s="25">
        <f>E898/I892</f>
        <v>36363.63636</v>
      </c>
      <c r="F900" s="4"/>
      <c r="G900" s="4"/>
      <c r="H900" s="4"/>
      <c r="I900" s="59"/>
    </row>
    <row r="901">
      <c r="A901" s="60"/>
      <c r="D901" s="16" t="s">
        <v>99</v>
      </c>
      <c r="E901" s="25">
        <f>E900/12</f>
        <v>3030.30303</v>
      </c>
      <c r="F901" s="4" t="s">
        <v>171</v>
      </c>
      <c r="I901" s="59"/>
    </row>
    <row r="902">
      <c r="A902" s="61"/>
      <c r="D902" s="16" t="s">
        <v>101</v>
      </c>
      <c r="E902" s="25">
        <f>E901*5</f>
        <v>15151.51515</v>
      </c>
      <c r="F902" s="4" t="s">
        <v>171</v>
      </c>
      <c r="G902" s="35" t="s">
        <v>105</v>
      </c>
      <c r="H902" s="25">
        <f>H892+(25/60)</f>
        <v>4.583333333</v>
      </c>
      <c r="I902" s="19"/>
    </row>
    <row r="903">
      <c r="A903" s="61"/>
      <c r="D903" s="17"/>
      <c r="G903" s="35" t="s">
        <v>108</v>
      </c>
      <c r="H903" s="25">
        <f>I895+(25/60)</f>
        <v>0.4166666667</v>
      </c>
      <c r="I903" s="19"/>
    </row>
    <row r="904">
      <c r="A904" s="61"/>
      <c r="D904" s="16" t="s">
        <v>111</v>
      </c>
      <c r="G904" s="16" t="s">
        <v>112</v>
      </c>
      <c r="I904" s="19"/>
    </row>
    <row r="905">
      <c r="A905" s="61"/>
      <c r="D905" s="16" t="s">
        <v>92</v>
      </c>
      <c r="E905" s="25">
        <f>E893/H895</f>
        <v>0</v>
      </c>
      <c r="G905" s="16" t="s">
        <v>92</v>
      </c>
      <c r="H905" s="25">
        <f>E894/H903</f>
        <v>2400000</v>
      </c>
      <c r="I905" s="19"/>
    </row>
    <row r="906">
      <c r="A906" s="61"/>
      <c r="D906" s="16" t="s">
        <v>94</v>
      </c>
      <c r="E906" s="25">
        <f>E893/I892</f>
        <v>0</v>
      </c>
      <c r="G906" s="16" t="s">
        <v>94</v>
      </c>
      <c r="H906" s="25">
        <f>E894/I892</f>
        <v>166666.6667</v>
      </c>
      <c r="I906" s="19"/>
    </row>
    <row r="907">
      <c r="A907" s="60"/>
      <c r="D907" s="16" t="s">
        <v>96</v>
      </c>
      <c r="E907" s="25">
        <f>E906/H895</f>
        <v>0</v>
      </c>
      <c r="G907" s="16" t="s">
        <v>96</v>
      </c>
      <c r="H907" s="25">
        <f>H906/H903</f>
        <v>400000</v>
      </c>
      <c r="I907" s="19"/>
    </row>
    <row r="908">
      <c r="A908" s="32"/>
      <c r="D908" s="16" t="s">
        <v>99</v>
      </c>
      <c r="E908" s="25">
        <f>E907/12</f>
        <v>0</v>
      </c>
      <c r="G908" s="16" t="s">
        <v>99</v>
      </c>
      <c r="H908" s="25">
        <f>H907/12</f>
        <v>33333.33333</v>
      </c>
      <c r="I908" s="19"/>
    </row>
    <row r="909">
      <c r="A909" s="42"/>
      <c r="D909" s="16" t="s">
        <v>101</v>
      </c>
      <c r="E909" s="25">
        <f>E908*5</f>
        <v>0</v>
      </c>
      <c r="G909" s="16" t="s">
        <v>101</v>
      </c>
      <c r="H909" s="25">
        <f>H908*5</f>
        <v>166666.6667</v>
      </c>
      <c r="I909" s="19"/>
    </row>
    <row r="910">
      <c r="A910" s="42"/>
      <c r="I910" s="19"/>
    </row>
    <row r="911">
      <c r="A911" s="42"/>
      <c r="D911" s="28" t="s">
        <v>124</v>
      </c>
      <c r="E911" s="41"/>
      <c r="F911" s="41"/>
      <c r="I911" s="19"/>
    </row>
    <row r="912">
      <c r="A912" s="42"/>
      <c r="D912" s="4" t="s">
        <v>126</v>
      </c>
      <c r="E912" s="25">
        <f t="shared" ref="E912:E914" si="149">H907-E907</f>
        <v>400000</v>
      </c>
      <c r="I912" s="19"/>
    </row>
    <row r="913">
      <c r="A913" s="42"/>
      <c r="D913" s="4" t="s">
        <v>128</v>
      </c>
      <c r="E913" s="25">
        <f t="shared" si="149"/>
        <v>33333.33333</v>
      </c>
      <c r="I913" s="19"/>
    </row>
    <row r="914">
      <c r="A914" s="32"/>
      <c r="D914" s="4" t="s">
        <v>129</v>
      </c>
      <c r="E914" s="25">
        <f t="shared" si="149"/>
        <v>166666.6667</v>
      </c>
      <c r="G914" s="43"/>
      <c r="I914" s="19"/>
    </row>
    <row r="915">
      <c r="A915" s="32"/>
      <c r="D915" s="28" t="s">
        <v>131</v>
      </c>
      <c r="I915" s="19"/>
    </row>
    <row r="916">
      <c r="A916" s="32"/>
      <c r="D916" s="4" t="s">
        <v>132</v>
      </c>
      <c r="E916" s="25">
        <f t="shared" ref="E916:E918" si="150">H907-E900</f>
        <v>363636.3636</v>
      </c>
      <c r="G916" s="28" t="s">
        <v>134</v>
      </c>
      <c r="I916" s="19"/>
    </row>
    <row r="917">
      <c r="A917" s="32"/>
      <c r="D917" s="4" t="s">
        <v>133</v>
      </c>
      <c r="E917" s="25">
        <f t="shared" si="150"/>
        <v>30303.0303</v>
      </c>
      <c r="G917" s="35" t="s">
        <v>137</v>
      </c>
      <c r="H917" s="25">
        <f>E902/H905</f>
        <v>0.006313131313</v>
      </c>
      <c r="I917" s="19"/>
    </row>
    <row r="918">
      <c r="A918" s="44"/>
      <c r="B918" s="45"/>
      <c r="C918" s="45"/>
      <c r="D918" s="47" t="s">
        <v>136</v>
      </c>
      <c r="E918" s="45">
        <f t="shared" si="150"/>
        <v>151515.1515</v>
      </c>
      <c r="F918" s="45"/>
      <c r="G918" s="48" t="s">
        <v>139</v>
      </c>
      <c r="H918" s="45">
        <f>H892-H917</f>
        <v>4.160353535</v>
      </c>
      <c r="I918" s="50"/>
    </row>
    <row r="920">
      <c r="A920" s="6" t="s">
        <v>70</v>
      </c>
      <c r="B920" s="34" t="s">
        <v>169</v>
      </c>
      <c r="C920" s="10"/>
      <c r="D920" s="9" t="s">
        <v>71</v>
      </c>
      <c r="E920" s="10"/>
      <c r="F920" s="10"/>
      <c r="G920" s="10"/>
      <c r="H920" s="10"/>
      <c r="I920" s="11"/>
    </row>
    <row r="921">
      <c r="A921" s="12" t="s">
        <v>72</v>
      </c>
      <c r="B921" s="13">
        <v>1000000.0</v>
      </c>
      <c r="D921" s="56" t="str">
        <f>B920</f>
        <v>Test Date</v>
      </c>
      <c r="E921" s="16" t="s">
        <v>73</v>
      </c>
      <c r="F921" s="17"/>
      <c r="G921" s="16" t="s">
        <v>74</v>
      </c>
      <c r="H921" s="16" t="s">
        <v>75</v>
      </c>
      <c r="I921" s="57" t="s">
        <v>76</v>
      </c>
    </row>
    <row r="922">
      <c r="A922" s="12" t="s">
        <v>78</v>
      </c>
      <c r="B922" s="13">
        <v>0.0</v>
      </c>
      <c r="D922" s="20" t="s">
        <v>72</v>
      </c>
      <c r="E922" s="21">
        <f t="shared" ref="E922:E923" si="151">B921</f>
        <v>1000000</v>
      </c>
      <c r="F922" s="20" t="s">
        <v>79</v>
      </c>
      <c r="G922" s="21">
        <f t="shared" ref="G922:G923" si="152">B924</f>
        <v>4</v>
      </c>
      <c r="H922" s="4">
        <f>G922+(G923/60)</f>
        <v>4.166666667</v>
      </c>
      <c r="I922" s="58">
        <f>B929</f>
        <v>6</v>
      </c>
    </row>
    <row r="923">
      <c r="A923" s="12" t="s">
        <v>81</v>
      </c>
      <c r="B923" s="14"/>
      <c r="D923" s="20" t="s">
        <v>78</v>
      </c>
      <c r="E923" s="21">
        <f t="shared" si="151"/>
        <v>0</v>
      </c>
      <c r="F923" s="20" t="s">
        <v>82</v>
      </c>
      <c r="G923" s="21">
        <f t="shared" si="152"/>
        <v>10</v>
      </c>
      <c r="I923" s="19"/>
    </row>
    <row r="924">
      <c r="A924" s="24" t="s">
        <v>79</v>
      </c>
      <c r="B924" s="13">
        <v>4.0</v>
      </c>
      <c r="D924" s="20" t="s">
        <v>84</v>
      </c>
      <c r="E924" s="25">
        <f>E922-E923</f>
        <v>1000000</v>
      </c>
      <c r="F924" s="26"/>
      <c r="G924" s="16" t="s">
        <v>85</v>
      </c>
      <c r="H924" s="16" t="s">
        <v>86</v>
      </c>
      <c r="I924" s="57" t="s">
        <v>87</v>
      </c>
    </row>
    <row r="925">
      <c r="A925" s="24" t="s">
        <v>89</v>
      </c>
      <c r="B925" s="13">
        <v>10.0</v>
      </c>
      <c r="D925" s="51"/>
      <c r="F925" s="20" t="s">
        <v>79</v>
      </c>
      <c r="G925" s="21">
        <f t="shared" ref="G925:G926" si="153">B927</f>
        <v>4</v>
      </c>
      <c r="H925" s="25">
        <f>G925+(G926/60)</f>
        <v>4.166666667</v>
      </c>
      <c r="I925" s="19">
        <f>H922-H925</f>
        <v>0</v>
      </c>
    </row>
    <row r="926">
      <c r="A926" s="12" t="s">
        <v>85</v>
      </c>
      <c r="B926" s="27"/>
      <c r="D926" s="51"/>
      <c r="F926" s="20" t="s">
        <v>82</v>
      </c>
      <c r="G926" s="21">
        <f t="shared" si="153"/>
        <v>10</v>
      </c>
      <c r="I926" s="19"/>
    </row>
    <row r="927">
      <c r="A927" s="24" t="s">
        <v>79</v>
      </c>
      <c r="B927" s="13">
        <v>4.0</v>
      </c>
      <c r="D927" s="16" t="s">
        <v>170</v>
      </c>
      <c r="I927" s="19"/>
    </row>
    <row r="928">
      <c r="A928" s="24" t="s">
        <v>89</v>
      </c>
      <c r="B928" s="13">
        <v>10.0</v>
      </c>
      <c r="D928" s="16" t="s">
        <v>92</v>
      </c>
      <c r="E928" s="25">
        <f>E922/H932</f>
        <v>218181.8182</v>
      </c>
      <c r="I928" s="19"/>
    </row>
    <row r="929">
      <c r="A929" s="12" t="s">
        <v>98</v>
      </c>
      <c r="B929" s="13">
        <v>6.0</v>
      </c>
      <c r="D929" s="16" t="s">
        <v>94</v>
      </c>
      <c r="E929" s="25">
        <f>E922/I922</f>
        <v>166666.6667</v>
      </c>
      <c r="I929" s="19"/>
    </row>
    <row r="930">
      <c r="A930" s="32"/>
      <c r="D930" s="16" t="s">
        <v>96</v>
      </c>
      <c r="E930" s="25">
        <f>E928/I922</f>
        <v>36363.63636</v>
      </c>
      <c r="F930" s="4"/>
      <c r="G930" s="4"/>
      <c r="H930" s="4"/>
      <c r="I930" s="59"/>
    </row>
    <row r="931">
      <c r="A931" s="60"/>
      <c r="D931" s="16" t="s">
        <v>99</v>
      </c>
      <c r="E931" s="25">
        <f>E930/12</f>
        <v>3030.30303</v>
      </c>
      <c r="F931" s="4" t="s">
        <v>171</v>
      </c>
      <c r="I931" s="59"/>
    </row>
    <row r="932">
      <c r="A932" s="61"/>
      <c r="D932" s="16" t="s">
        <v>101</v>
      </c>
      <c r="E932" s="25">
        <f>E931*5</f>
        <v>15151.51515</v>
      </c>
      <c r="F932" s="4" t="s">
        <v>171</v>
      </c>
      <c r="G932" s="35" t="s">
        <v>105</v>
      </c>
      <c r="H932" s="25">
        <f>H922+(25/60)</f>
        <v>4.583333333</v>
      </c>
      <c r="I932" s="19"/>
    </row>
    <row r="933">
      <c r="A933" s="61"/>
      <c r="D933" s="17"/>
      <c r="G933" s="35" t="s">
        <v>108</v>
      </c>
      <c r="H933" s="25">
        <f>I925+(25/60)</f>
        <v>0.4166666667</v>
      </c>
      <c r="I933" s="19"/>
    </row>
    <row r="934">
      <c r="A934" s="61"/>
      <c r="D934" s="16" t="s">
        <v>111</v>
      </c>
      <c r="G934" s="16" t="s">
        <v>112</v>
      </c>
      <c r="I934" s="19"/>
    </row>
    <row r="935">
      <c r="A935" s="61"/>
      <c r="D935" s="16" t="s">
        <v>92</v>
      </c>
      <c r="E935" s="25">
        <f>E923/H925</f>
        <v>0</v>
      </c>
      <c r="G935" s="16" t="s">
        <v>92</v>
      </c>
      <c r="H935" s="25">
        <f>E924/H933</f>
        <v>2400000</v>
      </c>
      <c r="I935" s="19"/>
    </row>
    <row r="936">
      <c r="A936" s="61"/>
      <c r="D936" s="16" t="s">
        <v>94</v>
      </c>
      <c r="E936" s="25">
        <f>E923/I922</f>
        <v>0</v>
      </c>
      <c r="G936" s="16" t="s">
        <v>94</v>
      </c>
      <c r="H936" s="25">
        <f>E924/I922</f>
        <v>166666.6667</v>
      </c>
      <c r="I936" s="19"/>
    </row>
    <row r="937">
      <c r="A937" s="60"/>
      <c r="D937" s="16" t="s">
        <v>96</v>
      </c>
      <c r="E937" s="25">
        <f>E936/H925</f>
        <v>0</v>
      </c>
      <c r="G937" s="16" t="s">
        <v>96</v>
      </c>
      <c r="H937" s="25">
        <f>H936/H933</f>
        <v>400000</v>
      </c>
      <c r="I937" s="19"/>
    </row>
    <row r="938">
      <c r="A938" s="32"/>
      <c r="D938" s="16" t="s">
        <v>99</v>
      </c>
      <c r="E938" s="25">
        <f>E937/12</f>
        <v>0</v>
      </c>
      <c r="G938" s="16" t="s">
        <v>99</v>
      </c>
      <c r="H938" s="25">
        <f>H937/12</f>
        <v>33333.33333</v>
      </c>
      <c r="I938" s="19"/>
    </row>
    <row r="939">
      <c r="A939" s="42"/>
      <c r="D939" s="16" t="s">
        <v>101</v>
      </c>
      <c r="E939" s="25">
        <f>E938*5</f>
        <v>0</v>
      </c>
      <c r="G939" s="16" t="s">
        <v>101</v>
      </c>
      <c r="H939" s="25">
        <f>H938*5</f>
        <v>166666.6667</v>
      </c>
      <c r="I939" s="19"/>
    </row>
    <row r="940">
      <c r="A940" s="42"/>
      <c r="I940" s="19"/>
    </row>
    <row r="941">
      <c r="A941" s="42"/>
      <c r="D941" s="28" t="s">
        <v>124</v>
      </c>
      <c r="E941" s="41"/>
      <c r="F941" s="41"/>
      <c r="I941" s="19"/>
    </row>
    <row r="942">
      <c r="A942" s="42"/>
      <c r="D942" s="4" t="s">
        <v>126</v>
      </c>
      <c r="E942" s="25">
        <f t="shared" ref="E942:E944" si="154">H937-E937</f>
        <v>400000</v>
      </c>
      <c r="I942" s="19"/>
    </row>
    <row r="943">
      <c r="A943" s="42"/>
      <c r="D943" s="4" t="s">
        <v>128</v>
      </c>
      <c r="E943" s="25">
        <f t="shared" si="154"/>
        <v>33333.33333</v>
      </c>
      <c r="I943" s="19"/>
    </row>
    <row r="944">
      <c r="A944" s="32"/>
      <c r="D944" s="4" t="s">
        <v>129</v>
      </c>
      <c r="E944" s="25">
        <f t="shared" si="154"/>
        <v>166666.6667</v>
      </c>
      <c r="G944" s="43"/>
      <c r="I944" s="19"/>
    </row>
    <row r="945">
      <c r="A945" s="32"/>
      <c r="D945" s="28" t="s">
        <v>131</v>
      </c>
      <c r="I945" s="19"/>
    </row>
    <row r="946">
      <c r="A946" s="32"/>
      <c r="D946" s="4" t="s">
        <v>132</v>
      </c>
      <c r="E946" s="25">
        <f t="shared" ref="E946:E948" si="155">H937-E930</f>
        <v>363636.3636</v>
      </c>
      <c r="G946" s="28" t="s">
        <v>134</v>
      </c>
      <c r="I946" s="19"/>
    </row>
    <row r="947">
      <c r="A947" s="32"/>
      <c r="D947" s="4" t="s">
        <v>133</v>
      </c>
      <c r="E947" s="25">
        <f t="shared" si="155"/>
        <v>30303.0303</v>
      </c>
      <c r="G947" s="35" t="s">
        <v>137</v>
      </c>
      <c r="H947" s="25">
        <f>E932/H935</f>
        <v>0.006313131313</v>
      </c>
      <c r="I947" s="19"/>
    </row>
    <row r="948">
      <c r="A948" s="44"/>
      <c r="B948" s="45"/>
      <c r="C948" s="45"/>
      <c r="D948" s="47" t="s">
        <v>136</v>
      </c>
      <c r="E948" s="45">
        <f t="shared" si="155"/>
        <v>151515.1515</v>
      </c>
      <c r="F948" s="45"/>
      <c r="G948" s="48" t="s">
        <v>139</v>
      </c>
      <c r="H948" s="45">
        <f>H922-H947</f>
        <v>4.160353535</v>
      </c>
      <c r="I948" s="50"/>
    </row>
    <row r="950">
      <c r="A950" s="6" t="s">
        <v>70</v>
      </c>
      <c r="B950" s="34" t="s">
        <v>169</v>
      </c>
      <c r="C950" s="10"/>
      <c r="D950" s="9" t="s">
        <v>71</v>
      </c>
      <c r="E950" s="10"/>
      <c r="F950" s="10"/>
      <c r="G950" s="10"/>
      <c r="H950" s="10"/>
      <c r="I950" s="11"/>
    </row>
    <row r="951">
      <c r="A951" s="12" t="s">
        <v>72</v>
      </c>
      <c r="B951" s="13">
        <v>1000000.0</v>
      </c>
      <c r="D951" s="56" t="str">
        <f>B950</f>
        <v>Test Date</v>
      </c>
      <c r="E951" s="16" t="s">
        <v>73</v>
      </c>
      <c r="F951" s="17"/>
      <c r="G951" s="16" t="s">
        <v>74</v>
      </c>
      <c r="H951" s="16" t="s">
        <v>75</v>
      </c>
      <c r="I951" s="57" t="s">
        <v>76</v>
      </c>
    </row>
    <row r="952">
      <c r="A952" s="12" t="s">
        <v>78</v>
      </c>
      <c r="B952" s="13">
        <v>0.0</v>
      </c>
      <c r="D952" s="20" t="s">
        <v>72</v>
      </c>
      <c r="E952" s="21">
        <f t="shared" ref="E952:E953" si="156">B951</f>
        <v>1000000</v>
      </c>
      <c r="F952" s="20" t="s">
        <v>79</v>
      </c>
      <c r="G952" s="21">
        <f t="shared" ref="G952:G953" si="157">B954</f>
        <v>4</v>
      </c>
      <c r="H952" s="4">
        <f>G952+(G953/60)</f>
        <v>4.166666667</v>
      </c>
      <c r="I952" s="58">
        <f>B959</f>
        <v>6</v>
      </c>
    </row>
    <row r="953">
      <c r="A953" s="12" t="s">
        <v>81</v>
      </c>
      <c r="B953" s="14"/>
      <c r="D953" s="20" t="s">
        <v>78</v>
      </c>
      <c r="E953" s="21">
        <f t="shared" si="156"/>
        <v>0</v>
      </c>
      <c r="F953" s="20" t="s">
        <v>82</v>
      </c>
      <c r="G953" s="21">
        <f t="shared" si="157"/>
        <v>10</v>
      </c>
      <c r="I953" s="19"/>
    </row>
    <row r="954">
      <c r="A954" s="24" t="s">
        <v>79</v>
      </c>
      <c r="B954" s="13">
        <v>4.0</v>
      </c>
      <c r="D954" s="20" t="s">
        <v>84</v>
      </c>
      <c r="E954" s="25">
        <f>E952-E953</f>
        <v>1000000</v>
      </c>
      <c r="F954" s="26"/>
      <c r="G954" s="16" t="s">
        <v>85</v>
      </c>
      <c r="H954" s="16" t="s">
        <v>86</v>
      </c>
      <c r="I954" s="57" t="s">
        <v>87</v>
      </c>
    </row>
    <row r="955">
      <c r="A955" s="24" t="s">
        <v>89</v>
      </c>
      <c r="B955" s="13">
        <v>10.0</v>
      </c>
      <c r="D955" s="51"/>
      <c r="F955" s="20" t="s">
        <v>79</v>
      </c>
      <c r="G955" s="21">
        <f t="shared" ref="G955:G956" si="158">B957</f>
        <v>4</v>
      </c>
      <c r="H955" s="25">
        <f>G955+(G956/60)</f>
        <v>4.166666667</v>
      </c>
      <c r="I955" s="19">
        <f>H952-H955</f>
        <v>0</v>
      </c>
    </row>
    <row r="956">
      <c r="A956" s="12" t="s">
        <v>85</v>
      </c>
      <c r="B956" s="27"/>
      <c r="D956" s="51"/>
      <c r="F956" s="20" t="s">
        <v>82</v>
      </c>
      <c r="G956" s="21">
        <f t="shared" si="158"/>
        <v>10</v>
      </c>
      <c r="I956" s="19"/>
    </row>
    <row r="957">
      <c r="A957" s="24" t="s">
        <v>79</v>
      </c>
      <c r="B957" s="13">
        <v>4.0</v>
      </c>
      <c r="D957" s="16" t="s">
        <v>170</v>
      </c>
      <c r="I957" s="19"/>
    </row>
    <row r="958">
      <c r="A958" s="24" t="s">
        <v>89</v>
      </c>
      <c r="B958" s="13">
        <v>10.0</v>
      </c>
      <c r="D958" s="16" t="s">
        <v>92</v>
      </c>
      <c r="E958" s="25">
        <f>E952/H962</f>
        <v>218181.8182</v>
      </c>
      <c r="I958" s="19"/>
    </row>
    <row r="959">
      <c r="A959" s="12" t="s">
        <v>98</v>
      </c>
      <c r="B959" s="13">
        <v>6.0</v>
      </c>
      <c r="D959" s="16" t="s">
        <v>94</v>
      </c>
      <c r="E959" s="25">
        <f>E952/I952</f>
        <v>166666.6667</v>
      </c>
      <c r="I959" s="19"/>
    </row>
    <row r="960">
      <c r="A960" s="32"/>
      <c r="D960" s="16" t="s">
        <v>96</v>
      </c>
      <c r="E960" s="25">
        <f>E958/I952</f>
        <v>36363.63636</v>
      </c>
      <c r="F960" s="4"/>
      <c r="G960" s="4"/>
      <c r="H960" s="4"/>
      <c r="I960" s="59"/>
    </row>
    <row r="961">
      <c r="A961" s="60"/>
      <c r="D961" s="16" t="s">
        <v>99</v>
      </c>
      <c r="E961" s="25">
        <f>E960/12</f>
        <v>3030.30303</v>
      </c>
      <c r="F961" s="4" t="s">
        <v>171</v>
      </c>
      <c r="I961" s="59"/>
    </row>
    <row r="962">
      <c r="A962" s="61"/>
      <c r="D962" s="16" t="s">
        <v>101</v>
      </c>
      <c r="E962" s="25">
        <f>E961*5</f>
        <v>15151.51515</v>
      </c>
      <c r="F962" s="4" t="s">
        <v>171</v>
      </c>
      <c r="G962" s="35" t="s">
        <v>105</v>
      </c>
      <c r="H962" s="25">
        <f>H952+(25/60)</f>
        <v>4.583333333</v>
      </c>
      <c r="I962" s="19"/>
    </row>
    <row r="963">
      <c r="A963" s="61"/>
      <c r="D963" s="17"/>
      <c r="G963" s="35" t="s">
        <v>108</v>
      </c>
      <c r="H963" s="25">
        <f>I955+(25/60)</f>
        <v>0.4166666667</v>
      </c>
      <c r="I963" s="19"/>
    </row>
    <row r="964">
      <c r="A964" s="61"/>
      <c r="D964" s="16" t="s">
        <v>111</v>
      </c>
      <c r="G964" s="16" t="s">
        <v>112</v>
      </c>
      <c r="I964" s="19"/>
    </row>
    <row r="965">
      <c r="A965" s="61"/>
      <c r="D965" s="16" t="s">
        <v>92</v>
      </c>
      <c r="E965" s="25">
        <f>E953/H955</f>
        <v>0</v>
      </c>
      <c r="G965" s="16" t="s">
        <v>92</v>
      </c>
      <c r="H965" s="25">
        <f>E954/H963</f>
        <v>2400000</v>
      </c>
      <c r="I965" s="19"/>
    </row>
    <row r="966">
      <c r="A966" s="61"/>
      <c r="D966" s="16" t="s">
        <v>94</v>
      </c>
      <c r="E966" s="25">
        <f>E953/I952</f>
        <v>0</v>
      </c>
      <c r="G966" s="16" t="s">
        <v>94</v>
      </c>
      <c r="H966" s="25">
        <f>E954/I952</f>
        <v>166666.6667</v>
      </c>
      <c r="I966" s="19"/>
    </row>
    <row r="967">
      <c r="A967" s="60"/>
      <c r="D967" s="16" t="s">
        <v>96</v>
      </c>
      <c r="E967" s="25">
        <f>E966/H955</f>
        <v>0</v>
      </c>
      <c r="G967" s="16" t="s">
        <v>96</v>
      </c>
      <c r="H967" s="25">
        <f>H966/H963</f>
        <v>400000</v>
      </c>
      <c r="I967" s="19"/>
    </row>
    <row r="968">
      <c r="A968" s="32"/>
      <c r="D968" s="16" t="s">
        <v>99</v>
      </c>
      <c r="E968" s="25">
        <f>E967/12</f>
        <v>0</v>
      </c>
      <c r="G968" s="16" t="s">
        <v>99</v>
      </c>
      <c r="H968" s="25">
        <f>H967/12</f>
        <v>33333.33333</v>
      </c>
      <c r="I968" s="19"/>
    </row>
    <row r="969">
      <c r="A969" s="42"/>
      <c r="D969" s="16" t="s">
        <v>101</v>
      </c>
      <c r="E969" s="25">
        <f>E968*5</f>
        <v>0</v>
      </c>
      <c r="G969" s="16" t="s">
        <v>101</v>
      </c>
      <c r="H969" s="25">
        <f>H968*5</f>
        <v>166666.6667</v>
      </c>
      <c r="I969" s="19"/>
    </row>
    <row r="970">
      <c r="A970" s="42"/>
      <c r="I970" s="19"/>
    </row>
    <row r="971">
      <c r="A971" s="42"/>
      <c r="D971" s="28" t="s">
        <v>124</v>
      </c>
      <c r="E971" s="41"/>
      <c r="F971" s="41"/>
      <c r="I971" s="19"/>
    </row>
    <row r="972">
      <c r="A972" s="42"/>
      <c r="D972" s="4" t="s">
        <v>126</v>
      </c>
      <c r="E972" s="25">
        <f t="shared" ref="E972:E974" si="159">H967-E967</f>
        <v>400000</v>
      </c>
      <c r="I972" s="19"/>
    </row>
    <row r="973">
      <c r="A973" s="42"/>
      <c r="D973" s="4" t="s">
        <v>128</v>
      </c>
      <c r="E973" s="25">
        <f t="shared" si="159"/>
        <v>33333.33333</v>
      </c>
      <c r="I973" s="19"/>
    </row>
    <row r="974">
      <c r="A974" s="32"/>
      <c r="D974" s="4" t="s">
        <v>129</v>
      </c>
      <c r="E974" s="25">
        <f t="shared" si="159"/>
        <v>166666.6667</v>
      </c>
      <c r="G974" s="43"/>
      <c r="I974" s="19"/>
    </row>
    <row r="975">
      <c r="A975" s="32"/>
      <c r="D975" s="28" t="s">
        <v>131</v>
      </c>
      <c r="I975" s="19"/>
    </row>
    <row r="976">
      <c r="A976" s="32"/>
      <c r="D976" s="4" t="s">
        <v>132</v>
      </c>
      <c r="E976" s="25">
        <f t="shared" ref="E976:E978" si="160">H967-E960</f>
        <v>363636.3636</v>
      </c>
      <c r="G976" s="28" t="s">
        <v>134</v>
      </c>
      <c r="I976" s="19"/>
    </row>
    <row r="977">
      <c r="A977" s="32"/>
      <c r="D977" s="4" t="s">
        <v>133</v>
      </c>
      <c r="E977" s="25">
        <f t="shared" si="160"/>
        <v>30303.0303</v>
      </c>
      <c r="G977" s="35" t="s">
        <v>137</v>
      </c>
      <c r="H977" s="25">
        <f>E962/H965</f>
        <v>0.006313131313</v>
      </c>
      <c r="I977" s="19"/>
    </row>
    <row r="978">
      <c r="A978" s="44"/>
      <c r="B978" s="45"/>
      <c r="C978" s="45"/>
      <c r="D978" s="47" t="s">
        <v>136</v>
      </c>
      <c r="E978" s="45">
        <f t="shared" si="160"/>
        <v>151515.1515</v>
      </c>
      <c r="F978" s="45"/>
      <c r="G978" s="48" t="s">
        <v>139</v>
      </c>
      <c r="H978" s="45">
        <f>H952-H977</f>
        <v>4.160353535</v>
      </c>
      <c r="I978" s="50"/>
    </row>
    <row r="980">
      <c r="A980" s="6" t="s">
        <v>70</v>
      </c>
      <c r="B980" s="34" t="s">
        <v>169</v>
      </c>
      <c r="C980" s="10"/>
      <c r="D980" s="9" t="s">
        <v>71</v>
      </c>
      <c r="E980" s="10"/>
      <c r="F980" s="10"/>
      <c r="G980" s="10"/>
      <c r="H980" s="10"/>
      <c r="I980" s="11"/>
    </row>
    <row r="981">
      <c r="A981" s="12" t="s">
        <v>72</v>
      </c>
      <c r="B981" s="13">
        <v>1000000.0</v>
      </c>
      <c r="D981" s="56" t="str">
        <f>B980</f>
        <v>Test Date</v>
      </c>
      <c r="E981" s="16" t="s">
        <v>73</v>
      </c>
      <c r="F981" s="17"/>
      <c r="G981" s="16" t="s">
        <v>74</v>
      </c>
      <c r="H981" s="16" t="s">
        <v>75</v>
      </c>
      <c r="I981" s="57" t="s">
        <v>76</v>
      </c>
    </row>
    <row r="982">
      <c r="A982" s="12" t="s">
        <v>78</v>
      </c>
      <c r="B982" s="13">
        <v>0.0</v>
      </c>
      <c r="D982" s="20" t="s">
        <v>72</v>
      </c>
      <c r="E982" s="21">
        <f t="shared" ref="E982:E983" si="161">B981</f>
        <v>1000000</v>
      </c>
      <c r="F982" s="20" t="s">
        <v>79</v>
      </c>
      <c r="G982" s="21">
        <f t="shared" ref="G982:G983" si="162">B984</f>
        <v>4</v>
      </c>
      <c r="H982" s="4">
        <f>G982+(G983/60)</f>
        <v>4.166666667</v>
      </c>
      <c r="I982" s="58">
        <f>B989</f>
        <v>6</v>
      </c>
    </row>
    <row r="983">
      <c r="A983" s="12" t="s">
        <v>81</v>
      </c>
      <c r="B983" s="14"/>
      <c r="D983" s="20" t="s">
        <v>78</v>
      </c>
      <c r="E983" s="21">
        <f t="shared" si="161"/>
        <v>0</v>
      </c>
      <c r="F983" s="20" t="s">
        <v>82</v>
      </c>
      <c r="G983" s="21">
        <f t="shared" si="162"/>
        <v>10</v>
      </c>
      <c r="I983" s="19"/>
    </row>
    <row r="984">
      <c r="A984" s="24" t="s">
        <v>79</v>
      </c>
      <c r="B984" s="13">
        <v>4.0</v>
      </c>
      <c r="D984" s="20" t="s">
        <v>84</v>
      </c>
      <c r="E984" s="25">
        <f>E982-E983</f>
        <v>1000000</v>
      </c>
      <c r="F984" s="26"/>
      <c r="G984" s="16" t="s">
        <v>85</v>
      </c>
      <c r="H984" s="16" t="s">
        <v>86</v>
      </c>
      <c r="I984" s="57" t="s">
        <v>87</v>
      </c>
    </row>
    <row r="985">
      <c r="A985" s="24" t="s">
        <v>89</v>
      </c>
      <c r="B985" s="13">
        <v>10.0</v>
      </c>
      <c r="D985" s="51"/>
      <c r="F985" s="20" t="s">
        <v>79</v>
      </c>
      <c r="G985" s="21">
        <f t="shared" ref="G985:G986" si="163">B987</f>
        <v>4</v>
      </c>
      <c r="H985" s="25">
        <f>G985+(G986/60)</f>
        <v>4.166666667</v>
      </c>
      <c r="I985" s="19">
        <f>H982-H985</f>
        <v>0</v>
      </c>
    </row>
    <row r="986">
      <c r="A986" s="12" t="s">
        <v>85</v>
      </c>
      <c r="B986" s="27"/>
      <c r="D986" s="51"/>
      <c r="F986" s="20" t="s">
        <v>82</v>
      </c>
      <c r="G986" s="21">
        <f t="shared" si="163"/>
        <v>10</v>
      </c>
      <c r="I986" s="19"/>
    </row>
    <row r="987">
      <c r="A987" s="24" t="s">
        <v>79</v>
      </c>
      <c r="B987" s="13">
        <v>4.0</v>
      </c>
      <c r="D987" s="16" t="s">
        <v>170</v>
      </c>
      <c r="I987" s="19"/>
    </row>
    <row r="988">
      <c r="A988" s="24" t="s">
        <v>89</v>
      </c>
      <c r="B988" s="13">
        <v>10.0</v>
      </c>
      <c r="D988" s="16" t="s">
        <v>92</v>
      </c>
      <c r="E988" s="25">
        <f>E982/H992</f>
        <v>218181.8182</v>
      </c>
      <c r="I988" s="19"/>
    </row>
    <row r="989">
      <c r="A989" s="12" t="s">
        <v>98</v>
      </c>
      <c r="B989" s="13">
        <v>6.0</v>
      </c>
      <c r="D989" s="16" t="s">
        <v>94</v>
      </c>
      <c r="E989" s="25">
        <f>E982/I982</f>
        <v>166666.6667</v>
      </c>
      <c r="I989" s="19"/>
    </row>
    <row r="990">
      <c r="A990" s="32"/>
      <c r="D990" s="16" t="s">
        <v>96</v>
      </c>
      <c r="E990" s="25">
        <f>E988/I982</f>
        <v>36363.63636</v>
      </c>
      <c r="F990" s="4"/>
      <c r="G990" s="4"/>
      <c r="H990" s="4"/>
      <c r="I990" s="59"/>
    </row>
    <row r="991">
      <c r="A991" s="60"/>
      <c r="D991" s="16" t="s">
        <v>99</v>
      </c>
      <c r="E991" s="25">
        <f>E990/12</f>
        <v>3030.30303</v>
      </c>
      <c r="F991" s="4" t="s">
        <v>171</v>
      </c>
      <c r="I991" s="59"/>
    </row>
    <row r="992">
      <c r="A992" s="61"/>
      <c r="D992" s="16" t="s">
        <v>101</v>
      </c>
      <c r="E992" s="25">
        <f>E991*5</f>
        <v>15151.51515</v>
      </c>
      <c r="F992" s="4" t="s">
        <v>171</v>
      </c>
      <c r="G992" s="35" t="s">
        <v>105</v>
      </c>
      <c r="H992" s="25">
        <f>H982+(25/60)</f>
        <v>4.583333333</v>
      </c>
      <c r="I992" s="19"/>
    </row>
    <row r="993">
      <c r="A993" s="61"/>
      <c r="D993" s="17"/>
      <c r="G993" s="35" t="s">
        <v>108</v>
      </c>
      <c r="H993" s="25">
        <f>I985+(25/60)</f>
        <v>0.4166666667</v>
      </c>
      <c r="I993" s="19"/>
    </row>
    <row r="994">
      <c r="A994" s="61"/>
      <c r="D994" s="16" t="s">
        <v>111</v>
      </c>
      <c r="G994" s="16" t="s">
        <v>112</v>
      </c>
      <c r="I994" s="19"/>
    </row>
    <row r="995">
      <c r="A995" s="61"/>
      <c r="D995" s="16" t="s">
        <v>92</v>
      </c>
      <c r="E995" s="25">
        <f>E983/H985</f>
        <v>0</v>
      </c>
      <c r="G995" s="16" t="s">
        <v>92</v>
      </c>
      <c r="H995" s="25">
        <f>E984/H993</f>
        <v>2400000</v>
      </c>
      <c r="I995" s="19"/>
    </row>
    <row r="996">
      <c r="A996" s="61"/>
      <c r="D996" s="16" t="s">
        <v>94</v>
      </c>
      <c r="E996" s="25">
        <f>E983/I982</f>
        <v>0</v>
      </c>
      <c r="G996" s="16" t="s">
        <v>94</v>
      </c>
      <c r="H996" s="25">
        <f>E984/I982</f>
        <v>166666.6667</v>
      </c>
      <c r="I996" s="19"/>
    </row>
    <row r="997">
      <c r="A997" s="60"/>
      <c r="D997" s="16" t="s">
        <v>96</v>
      </c>
      <c r="E997" s="25">
        <f>E996/H985</f>
        <v>0</v>
      </c>
      <c r="G997" s="16" t="s">
        <v>96</v>
      </c>
      <c r="H997" s="25">
        <f>H996/H993</f>
        <v>400000</v>
      </c>
      <c r="I997" s="19"/>
    </row>
    <row r="998">
      <c r="A998" s="32"/>
      <c r="D998" s="16" t="s">
        <v>99</v>
      </c>
      <c r="E998" s="25">
        <f>E997/12</f>
        <v>0</v>
      </c>
      <c r="G998" s="16" t="s">
        <v>99</v>
      </c>
      <c r="H998" s="25">
        <f>H997/12</f>
        <v>33333.33333</v>
      </c>
      <c r="I998" s="19"/>
    </row>
    <row r="999">
      <c r="A999" s="42"/>
      <c r="D999" s="16" t="s">
        <v>101</v>
      </c>
      <c r="E999" s="25">
        <f>E998*5</f>
        <v>0</v>
      </c>
      <c r="G999" s="16" t="s">
        <v>101</v>
      </c>
      <c r="H999" s="25">
        <f>H998*5</f>
        <v>166666.6667</v>
      </c>
      <c r="I999" s="19"/>
    </row>
    <row r="1000">
      <c r="A1000" s="42"/>
      <c r="I1000" s="19"/>
    </row>
    <row r="1001">
      <c r="A1001" s="42"/>
      <c r="D1001" s="28" t="s">
        <v>124</v>
      </c>
      <c r="E1001" s="41"/>
      <c r="F1001" s="41"/>
      <c r="I1001" s="19"/>
    </row>
    <row r="1002">
      <c r="A1002" s="42"/>
      <c r="D1002" s="4" t="s">
        <v>126</v>
      </c>
      <c r="E1002" s="25">
        <f t="shared" ref="E1002:E1004" si="164">H997-E997</f>
        <v>400000</v>
      </c>
      <c r="I1002" s="19"/>
    </row>
    <row r="1003">
      <c r="A1003" s="42"/>
      <c r="D1003" s="4" t="s">
        <v>128</v>
      </c>
      <c r="E1003" s="25">
        <f t="shared" si="164"/>
        <v>33333.33333</v>
      </c>
      <c r="I1003" s="19"/>
    </row>
    <row r="1004">
      <c r="A1004" s="32"/>
      <c r="D1004" s="4" t="s">
        <v>129</v>
      </c>
      <c r="E1004" s="25">
        <f t="shared" si="164"/>
        <v>166666.6667</v>
      </c>
      <c r="G1004" s="43"/>
      <c r="I1004" s="19"/>
    </row>
    <row r="1005">
      <c r="A1005" s="32"/>
      <c r="D1005" s="28" t="s">
        <v>131</v>
      </c>
      <c r="I1005" s="19"/>
    </row>
    <row r="1006">
      <c r="A1006" s="32"/>
      <c r="D1006" s="4" t="s">
        <v>132</v>
      </c>
      <c r="E1006" s="25">
        <f t="shared" ref="E1006:E1008" si="165">H997-E990</f>
        <v>363636.3636</v>
      </c>
      <c r="G1006" s="28" t="s">
        <v>134</v>
      </c>
      <c r="I1006" s="19"/>
    </row>
    <row r="1007">
      <c r="A1007" s="32"/>
      <c r="D1007" s="4" t="s">
        <v>133</v>
      </c>
      <c r="E1007" s="25">
        <f t="shared" si="165"/>
        <v>30303.0303</v>
      </c>
      <c r="G1007" s="35" t="s">
        <v>137</v>
      </c>
      <c r="H1007" s="25">
        <f>E992/H995</f>
        <v>0.006313131313</v>
      </c>
      <c r="I1007" s="19"/>
    </row>
    <row r="1008">
      <c r="A1008" s="44"/>
      <c r="B1008" s="45"/>
      <c r="C1008" s="45"/>
      <c r="D1008" s="47" t="s">
        <v>136</v>
      </c>
      <c r="E1008" s="45">
        <f t="shared" si="165"/>
        <v>151515.1515</v>
      </c>
      <c r="F1008" s="45"/>
      <c r="G1008" s="48" t="s">
        <v>139</v>
      </c>
      <c r="H1008" s="45">
        <f>H982-H1007</f>
        <v>4.160353535</v>
      </c>
      <c r="I1008" s="50"/>
    </row>
    <row r="1010">
      <c r="A1010" s="6" t="s">
        <v>70</v>
      </c>
      <c r="B1010" s="34" t="s">
        <v>169</v>
      </c>
      <c r="C1010" s="10"/>
      <c r="D1010" s="9" t="s">
        <v>71</v>
      </c>
      <c r="E1010" s="10"/>
      <c r="F1010" s="10"/>
      <c r="G1010" s="10"/>
      <c r="H1010" s="10"/>
      <c r="I1010" s="11"/>
    </row>
    <row r="1011">
      <c r="A1011" s="12" t="s">
        <v>72</v>
      </c>
      <c r="B1011" s="13">
        <v>1000000.0</v>
      </c>
      <c r="D1011" s="56" t="str">
        <f>B1010</f>
        <v>Test Date</v>
      </c>
      <c r="E1011" s="16" t="s">
        <v>73</v>
      </c>
      <c r="F1011" s="17"/>
      <c r="G1011" s="16" t="s">
        <v>74</v>
      </c>
      <c r="H1011" s="16" t="s">
        <v>75</v>
      </c>
      <c r="I1011" s="57" t="s">
        <v>76</v>
      </c>
    </row>
    <row r="1012">
      <c r="A1012" s="12" t="s">
        <v>78</v>
      </c>
      <c r="B1012" s="13">
        <v>0.0</v>
      </c>
      <c r="D1012" s="20" t="s">
        <v>72</v>
      </c>
      <c r="E1012" s="21">
        <f t="shared" ref="E1012:E1013" si="166">B1011</f>
        <v>1000000</v>
      </c>
      <c r="F1012" s="20" t="s">
        <v>79</v>
      </c>
      <c r="G1012" s="21">
        <f t="shared" ref="G1012:G1013" si="167">B1014</f>
        <v>4</v>
      </c>
      <c r="H1012" s="4">
        <f>G1012+(G1013/60)</f>
        <v>4.166666667</v>
      </c>
      <c r="I1012" s="58">
        <f>B1019</f>
        <v>6</v>
      </c>
    </row>
    <row r="1013">
      <c r="A1013" s="12" t="s">
        <v>81</v>
      </c>
      <c r="B1013" s="14"/>
      <c r="D1013" s="20" t="s">
        <v>78</v>
      </c>
      <c r="E1013" s="21">
        <f t="shared" si="166"/>
        <v>0</v>
      </c>
      <c r="F1013" s="20" t="s">
        <v>82</v>
      </c>
      <c r="G1013" s="21">
        <f t="shared" si="167"/>
        <v>10</v>
      </c>
      <c r="I1013" s="19"/>
    </row>
    <row r="1014">
      <c r="A1014" s="24" t="s">
        <v>79</v>
      </c>
      <c r="B1014" s="13">
        <v>4.0</v>
      </c>
      <c r="D1014" s="20" t="s">
        <v>84</v>
      </c>
      <c r="E1014" s="25">
        <f>E1012-E1013</f>
        <v>1000000</v>
      </c>
      <c r="F1014" s="26"/>
      <c r="G1014" s="16" t="s">
        <v>85</v>
      </c>
      <c r="H1014" s="16" t="s">
        <v>86</v>
      </c>
      <c r="I1014" s="57" t="s">
        <v>87</v>
      </c>
    </row>
    <row r="1015">
      <c r="A1015" s="24" t="s">
        <v>89</v>
      </c>
      <c r="B1015" s="13">
        <v>10.0</v>
      </c>
      <c r="D1015" s="51"/>
      <c r="F1015" s="20" t="s">
        <v>79</v>
      </c>
      <c r="G1015" s="21">
        <f t="shared" ref="G1015:G1016" si="168">B1017</f>
        <v>4</v>
      </c>
      <c r="H1015" s="25">
        <f>G1015+(G1016/60)</f>
        <v>4.166666667</v>
      </c>
      <c r="I1015" s="19">
        <f>H1012-H1015</f>
        <v>0</v>
      </c>
    </row>
    <row r="1016">
      <c r="A1016" s="12" t="s">
        <v>85</v>
      </c>
      <c r="B1016" s="27"/>
      <c r="D1016" s="51"/>
      <c r="F1016" s="20" t="s">
        <v>82</v>
      </c>
      <c r="G1016" s="21">
        <f t="shared" si="168"/>
        <v>10</v>
      </c>
      <c r="I1016" s="19"/>
    </row>
    <row r="1017">
      <c r="A1017" s="24" t="s">
        <v>79</v>
      </c>
      <c r="B1017" s="13">
        <v>4.0</v>
      </c>
      <c r="D1017" s="16" t="s">
        <v>170</v>
      </c>
      <c r="I1017" s="19"/>
    </row>
    <row r="1018">
      <c r="A1018" s="24" t="s">
        <v>89</v>
      </c>
      <c r="B1018" s="13">
        <v>10.0</v>
      </c>
      <c r="D1018" s="16" t="s">
        <v>92</v>
      </c>
      <c r="E1018" s="25">
        <f>E1012/H1022</f>
        <v>218181.8182</v>
      </c>
      <c r="I1018" s="19"/>
    </row>
    <row r="1019">
      <c r="A1019" s="12" t="s">
        <v>98</v>
      </c>
      <c r="B1019" s="13">
        <v>6.0</v>
      </c>
      <c r="D1019" s="16" t="s">
        <v>94</v>
      </c>
      <c r="E1019" s="25">
        <f>E1012/I1012</f>
        <v>166666.6667</v>
      </c>
      <c r="I1019" s="19"/>
    </row>
    <row r="1020">
      <c r="A1020" s="32"/>
      <c r="D1020" s="16" t="s">
        <v>96</v>
      </c>
      <c r="E1020" s="25">
        <f>E1018/I1012</f>
        <v>36363.63636</v>
      </c>
      <c r="F1020" s="4"/>
      <c r="G1020" s="4"/>
      <c r="H1020" s="4"/>
      <c r="I1020" s="59"/>
    </row>
    <row r="1021">
      <c r="A1021" s="60"/>
      <c r="D1021" s="16" t="s">
        <v>99</v>
      </c>
      <c r="E1021" s="25">
        <f>E1020/12</f>
        <v>3030.30303</v>
      </c>
      <c r="F1021" s="4" t="s">
        <v>171</v>
      </c>
      <c r="I1021" s="59"/>
    </row>
    <row r="1022">
      <c r="A1022" s="61"/>
      <c r="D1022" s="16" t="s">
        <v>101</v>
      </c>
      <c r="E1022" s="25">
        <f>E1021*5</f>
        <v>15151.51515</v>
      </c>
      <c r="F1022" s="4" t="s">
        <v>171</v>
      </c>
      <c r="G1022" s="35" t="s">
        <v>105</v>
      </c>
      <c r="H1022" s="25">
        <f>H1012+(25/60)</f>
        <v>4.583333333</v>
      </c>
      <c r="I1022" s="19"/>
    </row>
    <row r="1023">
      <c r="A1023" s="61"/>
      <c r="D1023" s="17"/>
      <c r="G1023" s="35" t="s">
        <v>108</v>
      </c>
      <c r="H1023" s="25">
        <f>I1015+(25/60)</f>
        <v>0.4166666667</v>
      </c>
      <c r="I1023" s="19"/>
    </row>
    <row r="1024">
      <c r="A1024" s="61"/>
      <c r="D1024" s="16" t="s">
        <v>111</v>
      </c>
      <c r="G1024" s="16" t="s">
        <v>112</v>
      </c>
      <c r="I1024" s="19"/>
    </row>
    <row r="1025">
      <c r="A1025" s="61"/>
      <c r="D1025" s="16" t="s">
        <v>92</v>
      </c>
      <c r="E1025" s="25">
        <f>E1013/H1015</f>
        <v>0</v>
      </c>
      <c r="G1025" s="16" t="s">
        <v>92</v>
      </c>
      <c r="H1025" s="25">
        <f>E1014/H1023</f>
        <v>2400000</v>
      </c>
      <c r="I1025" s="19"/>
    </row>
    <row r="1026">
      <c r="A1026" s="61"/>
      <c r="D1026" s="16" t="s">
        <v>94</v>
      </c>
      <c r="E1026" s="25">
        <f>E1013/I1012</f>
        <v>0</v>
      </c>
      <c r="G1026" s="16" t="s">
        <v>94</v>
      </c>
      <c r="H1026" s="25">
        <f>E1014/I1012</f>
        <v>166666.6667</v>
      </c>
      <c r="I1026" s="19"/>
    </row>
    <row r="1027">
      <c r="A1027" s="60"/>
      <c r="D1027" s="16" t="s">
        <v>96</v>
      </c>
      <c r="E1027" s="25">
        <f>E1026/H1015</f>
        <v>0</v>
      </c>
      <c r="G1027" s="16" t="s">
        <v>96</v>
      </c>
      <c r="H1027" s="25">
        <f>H1026/H1023</f>
        <v>400000</v>
      </c>
      <c r="I1027" s="19"/>
    </row>
    <row r="1028">
      <c r="A1028" s="32"/>
      <c r="D1028" s="16" t="s">
        <v>99</v>
      </c>
      <c r="E1028" s="25">
        <f>E1027/12</f>
        <v>0</v>
      </c>
      <c r="G1028" s="16" t="s">
        <v>99</v>
      </c>
      <c r="H1028" s="25">
        <f>H1027/12</f>
        <v>33333.33333</v>
      </c>
      <c r="I1028" s="19"/>
    </row>
    <row r="1029">
      <c r="A1029" s="42"/>
      <c r="D1029" s="16" t="s">
        <v>101</v>
      </c>
      <c r="E1029" s="25">
        <f>E1028*5</f>
        <v>0</v>
      </c>
      <c r="G1029" s="16" t="s">
        <v>101</v>
      </c>
      <c r="H1029" s="25">
        <f>H1028*5</f>
        <v>166666.6667</v>
      </c>
      <c r="I1029" s="19"/>
    </row>
    <row r="1030">
      <c r="A1030" s="42"/>
      <c r="I1030" s="19"/>
    </row>
    <row r="1031">
      <c r="A1031" s="42"/>
      <c r="D1031" s="28" t="s">
        <v>124</v>
      </c>
      <c r="E1031" s="41"/>
      <c r="F1031" s="41"/>
      <c r="I1031" s="19"/>
    </row>
    <row r="1032">
      <c r="A1032" s="42"/>
      <c r="D1032" s="4" t="s">
        <v>126</v>
      </c>
      <c r="E1032" s="25">
        <f t="shared" ref="E1032:E1034" si="169">H1027-E1027</f>
        <v>400000</v>
      </c>
      <c r="I1032" s="19"/>
    </row>
    <row r="1033">
      <c r="A1033" s="42"/>
      <c r="D1033" s="4" t="s">
        <v>128</v>
      </c>
      <c r="E1033" s="25">
        <f t="shared" si="169"/>
        <v>33333.33333</v>
      </c>
      <c r="I1033" s="19"/>
    </row>
    <row r="1034">
      <c r="A1034" s="32"/>
      <c r="D1034" s="4" t="s">
        <v>129</v>
      </c>
      <c r="E1034" s="25">
        <f t="shared" si="169"/>
        <v>166666.6667</v>
      </c>
      <c r="G1034" s="43"/>
      <c r="I1034" s="19"/>
    </row>
    <row r="1035">
      <c r="A1035" s="32"/>
      <c r="D1035" s="28" t="s">
        <v>131</v>
      </c>
      <c r="I1035" s="19"/>
    </row>
    <row r="1036">
      <c r="A1036" s="32"/>
      <c r="D1036" s="4" t="s">
        <v>132</v>
      </c>
      <c r="E1036" s="25">
        <f t="shared" ref="E1036:E1038" si="170">H1027-E1020</f>
        <v>363636.3636</v>
      </c>
      <c r="G1036" s="28" t="s">
        <v>134</v>
      </c>
      <c r="I1036" s="19"/>
    </row>
    <row r="1037">
      <c r="A1037" s="32"/>
      <c r="D1037" s="4" t="s">
        <v>133</v>
      </c>
      <c r="E1037" s="25">
        <f t="shared" si="170"/>
        <v>30303.0303</v>
      </c>
      <c r="G1037" s="35" t="s">
        <v>137</v>
      </c>
      <c r="H1037" s="25">
        <f>E1022/H1025</f>
        <v>0.006313131313</v>
      </c>
      <c r="I1037" s="19"/>
    </row>
    <row r="1038">
      <c r="A1038" s="44"/>
      <c r="B1038" s="45"/>
      <c r="C1038" s="45"/>
      <c r="D1038" s="47" t="s">
        <v>136</v>
      </c>
      <c r="E1038" s="45">
        <f t="shared" si="170"/>
        <v>151515.1515</v>
      </c>
      <c r="F1038" s="45"/>
      <c r="G1038" s="48" t="s">
        <v>139</v>
      </c>
      <c r="H1038" s="45">
        <f>H1012-H1037</f>
        <v>4.160353535</v>
      </c>
      <c r="I1038" s="50"/>
    </row>
    <row r="1040">
      <c r="A1040" s="6" t="s">
        <v>70</v>
      </c>
      <c r="B1040" s="34" t="s">
        <v>169</v>
      </c>
      <c r="C1040" s="10"/>
      <c r="D1040" s="9" t="s">
        <v>71</v>
      </c>
      <c r="E1040" s="10"/>
      <c r="F1040" s="10"/>
      <c r="G1040" s="10"/>
      <c r="H1040" s="10"/>
      <c r="I1040" s="11"/>
    </row>
    <row r="1041">
      <c r="A1041" s="12" t="s">
        <v>72</v>
      </c>
      <c r="B1041" s="13">
        <v>1000000.0</v>
      </c>
      <c r="D1041" s="56" t="str">
        <f>B1040</f>
        <v>Test Date</v>
      </c>
      <c r="E1041" s="16" t="s">
        <v>73</v>
      </c>
      <c r="F1041" s="17"/>
      <c r="G1041" s="16" t="s">
        <v>74</v>
      </c>
      <c r="H1041" s="16" t="s">
        <v>75</v>
      </c>
      <c r="I1041" s="57" t="s">
        <v>76</v>
      </c>
    </row>
    <row r="1042">
      <c r="A1042" s="12" t="s">
        <v>78</v>
      </c>
      <c r="B1042" s="13">
        <v>0.0</v>
      </c>
      <c r="D1042" s="20" t="s">
        <v>72</v>
      </c>
      <c r="E1042" s="21">
        <f t="shared" ref="E1042:E1043" si="171">B1041</f>
        <v>1000000</v>
      </c>
      <c r="F1042" s="20" t="s">
        <v>79</v>
      </c>
      <c r="G1042" s="21">
        <f t="shared" ref="G1042:G1043" si="172">B1044</f>
        <v>4</v>
      </c>
      <c r="H1042" s="4">
        <f>G1042+(G1043/60)</f>
        <v>4.166666667</v>
      </c>
      <c r="I1042" s="58">
        <f>B1049</f>
        <v>6</v>
      </c>
    </row>
    <row r="1043">
      <c r="A1043" s="12" t="s">
        <v>81</v>
      </c>
      <c r="B1043" s="14"/>
      <c r="D1043" s="20" t="s">
        <v>78</v>
      </c>
      <c r="E1043" s="21">
        <f t="shared" si="171"/>
        <v>0</v>
      </c>
      <c r="F1043" s="20" t="s">
        <v>82</v>
      </c>
      <c r="G1043" s="21">
        <f t="shared" si="172"/>
        <v>10</v>
      </c>
      <c r="I1043" s="19"/>
    </row>
    <row r="1044">
      <c r="A1044" s="24" t="s">
        <v>79</v>
      </c>
      <c r="B1044" s="13">
        <v>4.0</v>
      </c>
      <c r="D1044" s="20" t="s">
        <v>84</v>
      </c>
      <c r="E1044" s="25">
        <f>E1042-E1043</f>
        <v>1000000</v>
      </c>
      <c r="F1044" s="26"/>
      <c r="G1044" s="16" t="s">
        <v>85</v>
      </c>
      <c r="H1044" s="16" t="s">
        <v>86</v>
      </c>
      <c r="I1044" s="57" t="s">
        <v>87</v>
      </c>
    </row>
    <row r="1045">
      <c r="A1045" s="24" t="s">
        <v>89</v>
      </c>
      <c r="B1045" s="13">
        <v>10.0</v>
      </c>
      <c r="D1045" s="51"/>
      <c r="F1045" s="20" t="s">
        <v>79</v>
      </c>
      <c r="G1045" s="21">
        <f t="shared" ref="G1045:G1046" si="173">B1047</f>
        <v>4</v>
      </c>
      <c r="H1045" s="25">
        <f>G1045+(G1046/60)</f>
        <v>4.166666667</v>
      </c>
      <c r="I1045" s="19">
        <f>H1042-H1045</f>
        <v>0</v>
      </c>
    </row>
    <row r="1046">
      <c r="A1046" s="12" t="s">
        <v>85</v>
      </c>
      <c r="B1046" s="27"/>
      <c r="D1046" s="51"/>
      <c r="F1046" s="20" t="s">
        <v>82</v>
      </c>
      <c r="G1046" s="21">
        <f t="shared" si="173"/>
        <v>10</v>
      </c>
      <c r="I1046" s="19"/>
    </row>
    <row r="1047">
      <c r="A1047" s="24" t="s">
        <v>79</v>
      </c>
      <c r="B1047" s="13">
        <v>4.0</v>
      </c>
      <c r="D1047" s="16" t="s">
        <v>170</v>
      </c>
      <c r="I1047" s="19"/>
    </row>
    <row r="1048">
      <c r="A1048" s="24" t="s">
        <v>89</v>
      </c>
      <c r="B1048" s="13">
        <v>10.0</v>
      </c>
      <c r="D1048" s="16" t="s">
        <v>92</v>
      </c>
      <c r="E1048" s="25">
        <f>E1042/H1052</f>
        <v>218181.8182</v>
      </c>
      <c r="I1048" s="19"/>
    </row>
    <row r="1049">
      <c r="A1049" s="12" t="s">
        <v>98</v>
      </c>
      <c r="B1049" s="13">
        <v>6.0</v>
      </c>
      <c r="D1049" s="16" t="s">
        <v>94</v>
      </c>
      <c r="E1049" s="25">
        <f>E1042/I1042</f>
        <v>166666.6667</v>
      </c>
      <c r="I1049" s="19"/>
    </row>
    <row r="1050">
      <c r="A1050" s="32"/>
      <c r="D1050" s="16" t="s">
        <v>96</v>
      </c>
      <c r="E1050" s="25">
        <f>E1048/I1042</f>
        <v>36363.63636</v>
      </c>
      <c r="F1050" s="4"/>
      <c r="G1050" s="4"/>
      <c r="H1050" s="4"/>
      <c r="I1050" s="59"/>
    </row>
    <row r="1051">
      <c r="A1051" s="60"/>
      <c r="D1051" s="16" t="s">
        <v>99</v>
      </c>
      <c r="E1051" s="25">
        <f>E1050/12</f>
        <v>3030.30303</v>
      </c>
      <c r="F1051" s="4" t="s">
        <v>171</v>
      </c>
      <c r="I1051" s="59"/>
    </row>
    <row r="1052">
      <c r="A1052" s="61"/>
      <c r="D1052" s="16" t="s">
        <v>101</v>
      </c>
      <c r="E1052" s="25">
        <f>E1051*5</f>
        <v>15151.51515</v>
      </c>
      <c r="F1052" s="4" t="s">
        <v>171</v>
      </c>
      <c r="G1052" s="35" t="s">
        <v>105</v>
      </c>
      <c r="H1052" s="25">
        <f>H1042+(25/60)</f>
        <v>4.583333333</v>
      </c>
      <c r="I1052" s="19"/>
    </row>
    <row r="1053">
      <c r="A1053" s="61"/>
      <c r="D1053" s="17"/>
      <c r="G1053" s="35" t="s">
        <v>108</v>
      </c>
      <c r="H1053" s="25">
        <f>I1045+(25/60)</f>
        <v>0.4166666667</v>
      </c>
      <c r="I1053" s="19"/>
    </row>
    <row r="1054">
      <c r="A1054" s="61"/>
      <c r="D1054" s="16" t="s">
        <v>111</v>
      </c>
      <c r="G1054" s="16" t="s">
        <v>112</v>
      </c>
      <c r="I1054" s="19"/>
    </row>
    <row r="1055">
      <c r="A1055" s="61"/>
      <c r="D1055" s="16" t="s">
        <v>92</v>
      </c>
      <c r="E1055" s="25">
        <f>E1043/H1045</f>
        <v>0</v>
      </c>
      <c r="G1055" s="16" t="s">
        <v>92</v>
      </c>
      <c r="H1055" s="25">
        <f>E1044/H1053</f>
        <v>2400000</v>
      </c>
      <c r="I1055" s="19"/>
    </row>
    <row r="1056">
      <c r="A1056" s="61"/>
      <c r="D1056" s="16" t="s">
        <v>94</v>
      </c>
      <c r="E1056" s="25">
        <f>E1043/I1042</f>
        <v>0</v>
      </c>
      <c r="G1056" s="16" t="s">
        <v>94</v>
      </c>
      <c r="H1056" s="25">
        <f>E1044/I1042</f>
        <v>166666.6667</v>
      </c>
      <c r="I1056" s="19"/>
    </row>
    <row r="1057">
      <c r="A1057" s="60"/>
      <c r="D1057" s="16" t="s">
        <v>96</v>
      </c>
      <c r="E1057" s="25">
        <f>E1056/H1045</f>
        <v>0</v>
      </c>
      <c r="G1057" s="16" t="s">
        <v>96</v>
      </c>
      <c r="H1057" s="25">
        <f>H1056/H1053</f>
        <v>400000</v>
      </c>
      <c r="I1057" s="19"/>
    </row>
    <row r="1058">
      <c r="A1058" s="32"/>
      <c r="D1058" s="16" t="s">
        <v>99</v>
      </c>
      <c r="E1058" s="25">
        <f>E1057/12</f>
        <v>0</v>
      </c>
      <c r="G1058" s="16" t="s">
        <v>99</v>
      </c>
      <c r="H1058" s="25">
        <f>H1057/12</f>
        <v>33333.33333</v>
      </c>
      <c r="I1058" s="19"/>
    </row>
    <row r="1059">
      <c r="A1059" s="42"/>
      <c r="D1059" s="16" t="s">
        <v>101</v>
      </c>
      <c r="E1059" s="25">
        <f>E1058*5</f>
        <v>0</v>
      </c>
      <c r="G1059" s="16" t="s">
        <v>101</v>
      </c>
      <c r="H1059" s="25">
        <f>H1058*5</f>
        <v>166666.6667</v>
      </c>
      <c r="I1059" s="19"/>
    </row>
    <row r="1060">
      <c r="A1060" s="42"/>
      <c r="I1060" s="19"/>
    </row>
    <row r="1061">
      <c r="A1061" s="42"/>
      <c r="D1061" s="28" t="s">
        <v>124</v>
      </c>
      <c r="E1061" s="41"/>
      <c r="F1061" s="41"/>
      <c r="I1061" s="19"/>
    </row>
    <row r="1062">
      <c r="A1062" s="42"/>
      <c r="D1062" s="4" t="s">
        <v>126</v>
      </c>
      <c r="E1062" s="25">
        <f t="shared" ref="E1062:E1064" si="174">H1057-E1057</f>
        <v>400000</v>
      </c>
      <c r="I1062" s="19"/>
    </row>
    <row r="1063">
      <c r="A1063" s="42"/>
      <c r="D1063" s="4" t="s">
        <v>128</v>
      </c>
      <c r="E1063" s="25">
        <f t="shared" si="174"/>
        <v>33333.33333</v>
      </c>
      <c r="I1063" s="19"/>
    </row>
    <row r="1064">
      <c r="A1064" s="32"/>
      <c r="D1064" s="4" t="s">
        <v>129</v>
      </c>
      <c r="E1064" s="25">
        <f t="shared" si="174"/>
        <v>166666.6667</v>
      </c>
      <c r="G1064" s="43"/>
      <c r="I1064" s="19"/>
    </row>
    <row r="1065">
      <c r="A1065" s="32"/>
      <c r="D1065" s="28" t="s">
        <v>131</v>
      </c>
      <c r="I1065" s="19"/>
    </row>
    <row r="1066">
      <c r="A1066" s="32"/>
      <c r="D1066" s="4" t="s">
        <v>132</v>
      </c>
      <c r="E1066" s="25">
        <f t="shared" ref="E1066:E1068" si="175">H1057-E1050</f>
        <v>363636.3636</v>
      </c>
      <c r="G1066" s="28" t="s">
        <v>134</v>
      </c>
      <c r="I1066" s="19"/>
    </row>
    <row r="1067">
      <c r="A1067" s="32"/>
      <c r="D1067" s="4" t="s">
        <v>133</v>
      </c>
      <c r="E1067" s="25">
        <f t="shared" si="175"/>
        <v>30303.0303</v>
      </c>
      <c r="G1067" s="35" t="s">
        <v>137</v>
      </c>
      <c r="H1067" s="25">
        <f>E1052/H1055</f>
        <v>0.006313131313</v>
      </c>
      <c r="I1067" s="19"/>
    </row>
    <row r="1068">
      <c r="A1068" s="44"/>
      <c r="B1068" s="45"/>
      <c r="C1068" s="45"/>
      <c r="D1068" s="47" t="s">
        <v>136</v>
      </c>
      <c r="E1068" s="45">
        <f t="shared" si="175"/>
        <v>151515.1515</v>
      </c>
      <c r="F1068" s="45"/>
      <c r="G1068" s="48" t="s">
        <v>139</v>
      </c>
      <c r="H1068" s="45">
        <f>H1042-H1067</f>
        <v>4.160353535</v>
      </c>
      <c r="I1068" s="50"/>
    </row>
    <row r="1070">
      <c r="A1070" s="51"/>
      <c r="B1070" s="51"/>
      <c r="D1070" s="51"/>
    </row>
    <row r="1071">
      <c r="A1071" s="51"/>
      <c r="B1071" s="51"/>
      <c r="E1071" s="51"/>
      <c r="G1071" s="51"/>
      <c r="H1071" s="51"/>
      <c r="I1071" s="51"/>
    </row>
    <row r="1072">
      <c r="A1072" s="51"/>
      <c r="B1072" s="51"/>
      <c r="D1072" s="51"/>
      <c r="E1072" s="51"/>
      <c r="F1072" s="51"/>
      <c r="G1072" s="51"/>
      <c r="I1072" s="51"/>
    </row>
    <row r="1073">
      <c r="A1073" s="51"/>
      <c r="D1073" s="51"/>
      <c r="E1073" s="51"/>
      <c r="F1073" s="51"/>
      <c r="G1073" s="51"/>
    </row>
    <row r="1074">
      <c r="A1074" s="51"/>
      <c r="B1074" s="51"/>
      <c r="D1074" s="51"/>
      <c r="G1074" s="51"/>
      <c r="H1074" s="51"/>
      <c r="I1074" s="51"/>
    </row>
    <row r="1075">
      <c r="A1075" s="51"/>
      <c r="B1075" s="51"/>
      <c r="F1075" s="51"/>
      <c r="G1075" s="51"/>
    </row>
    <row r="1076">
      <c r="A1076" s="51"/>
      <c r="B1076" s="51"/>
      <c r="F1076" s="51"/>
      <c r="G1076" s="51"/>
    </row>
    <row r="1077">
      <c r="A1077" s="51"/>
      <c r="B1077" s="51"/>
      <c r="D1077" s="51"/>
    </row>
    <row r="1078">
      <c r="A1078" s="51"/>
      <c r="B1078" s="51"/>
      <c r="D1078" s="51"/>
    </row>
    <row r="1079">
      <c r="A1079" s="51"/>
      <c r="B1079" s="51"/>
      <c r="D1079" s="51"/>
    </row>
    <row r="1080">
      <c r="D1080" s="51"/>
      <c r="I1080" s="51"/>
    </row>
    <row r="1081">
      <c r="A1081" s="51"/>
      <c r="D1081" s="51"/>
      <c r="I1081" s="51"/>
    </row>
    <row r="1082">
      <c r="A1082" s="51"/>
      <c r="D1082" s="51"/>
      <c r="G1082" s="51"/>
    </row>
    <row r="1083">
      <c r="A1083" s="51"/>
      <c r="G1083" s="51"/>
    </row>
    <row r="1084">
      <c r="A1084" s="51"/>
      <c r="D1084" s="51"/>
      <c r="G1084" s="51"/>
    </row>
    <row r="1085">
      <c r="A1085" s="51"/>
      <c r="D1085" s="51"/>
      <c r="G1085" s="51"/>
    </row>
    <row r="1086">
      <c r="A1086" s="51"/>
      <c r="D1086" s="51"/>
      <c r="G1086" s="51"/>
    </row>
    <row r="1087">
      <c r="A1087" s="51"/>
      <c r="D1087" s="51"/>
      <c r="G1087" s="51"/>
    </row>
    <row r="1088">
      <c r="D1088" s="51"/>
      <c r="G1088" s="51"/>
    </row>
    <row r="1089">
      <c r="A1089" s="51"/>
      <c r="D1089" s="51"/>
      <c r="G1089" s="51"/>
    </row>
    <row r="1090">
      <c r="A1090" s="51"/>
    </row>
    <row r="1091">
      <c r="A1091" s="51"/>
      <c r="D1091" s="51"/>
    </row>
    <row r="1092">
      <c r="A1092" s="51"/>
    </row>
    <row r="1093">
      <c r="A1093" s="51"/>
    </row>
    <row r="1094">
      <c r="G1094" s="51"/>
    </row>
    <row r="1095">
      <c r="D1095" s="51"/>
    </row>
    <row r="1096">
      <c r="G1096" s="51"/>
    </row>
    <row r="1097">
      <c r="G1097" s="51"/>
    </row>
    <row r="1098">
      <c r="D1098" s="51"/>
      <c r="G1098" s="51"/>
    </row>
    <row r="1100">
      <c r="A1100" s="51"/>
      <c r="B1100" s="51"/>
      <c r="D1100" s="51"/>
    </row>
    <row r="1101">
      <c r="A1101" s="51"/>
      <c r="B1101" s="51"/>
      <c r="E1101" s="51"/>
      <c r="G1101" s="51"/>
      <c r="H1101" s="51"/>
      <c r="I1101" s="51"/>
    </row>
    <row r="1102">
      <c r="A1102" s="51"/>
      <c r="B1102" s="51"/>
      <c r="D1102" s="51"/>
      <c r="E1102" s="51"/>
      <c r="F1102" s="51"/>
      <c r="G1102" s="51"/>
      <c r="I1102" s="51"/>
    </row>
    <row r="1103">
      <c r="A1103" s="51"/>
      <c r="D1103" s="51"/>
      <c r="E1103" s="51"/>
      <c r="F1103" s="51"/>
      <c r="G1103" s="51"/>
    </row>
    <row r="1104">
      <c r="A1104" s="51"/>
      <c r="B1104" s="51"/>
      <c r="D1104" s="51"/>
      <c r="G1104" s="51"/>
      <c r="H1104" s="51"/>
      <c r="I1104" s="51"/>
    </row>
    <row r="1105">
      <c r="A1105" s="51"/>
      <c r="B1105" s="51"/>
      <c r="F1105" s="51"/>
      <c r="G1105" s="51"/>
    </row>
    <row r="1106">
      <c r="A1106" s="51"/>
      <c r="B1106" s="51"/>
      <c r="F1106" s="51"/>
      <c r="G1106" s="51"/>
    </row>
    <row r="1107">
      <c r="A1107" s="51"/>
      <c r="B1107" s="51"/>
      <c r="D1107" s="51"/>
    </row>
    <row r="1108">
      <c r="A1108" s="51"/>
      <c r="B1108" s="51"/>
      <c r="D1108" s="51"/>
    </row>
    <row r="1109">
      <c r="A1109" s="51"/>
      <c r="B1109" s="51"/>
      <c r="D1109" s="51"/>
    </row>
    <row r="1110">
      <c r="D1110" s="51"/>
      <c r="I1110" s="51"/>
    </row>
    <row r="1111">
      <c r="A1111" s="51"/>
      <c r="D1111" s="51"/>
      <c r="I1111" s="51"/>
    </row>
    <row r="1112">
      <c r="A1112" s="51"/>
      <c r="D1112" s="51"/>
      <c r="G1112" s="51"/>
    </row>
    <row r="1113">
      <c r="A1113" s="51"/>
      <c r="G1113" s="51"/>
    </row>
    <row r="1114">
      <c r="A1114" s="51"/>
      <c r="D1114" s="51"/>
      <c r="G1114" s="51"/>
    </row>
    <row r="1115">
      <c r="A1115" s="51"/>
      <c r="D1115" s="51"/>
      <c r="G1115" s="51"/>
    </row>
    <row r="1116">
      <c r="A1116" s="51"/>
      <c r="D1116" s="51"/>
      <c r="G1116" s="51"/>
    </row>
    <row r="1117">
      <c r="A1117" s="51"/>
      <c r="D1117" s="51"/>
      <c r="G1117" s="51"/>
    </row>
    <row r="1118">
      <c r="D1118" s="51"/>
      <c r="G1118" s="51"/>
    </row>
    <row r="1119">
      <c r="A1119" s="51"/>
      <c r="D1119" s="51"/>
      <c r="G1119" s="51"/>
    </row>
    <row r="1120">
      <c r="A1120" s="51"/>
    </row>
    <row r="1121">
      <c r="A1121" s="51"/>
      <c r="D1121" s="51"/>
    </row>
    <row r="1122">
      <c r="A1122" s="51"/>
    </row>
    <row r="1123">
      <c r="A1123" s="51"/>
    </row>
    <row r="1124">
      <c r="G1124" s="51"/>
    </row>
    <row r="1125">
      <c r="D1125" s="51"/>
    </row>
    <row r="1126">
      <c r="G1126" s="51"/>
    </row>
    <row r="1127">
      <c r="G1127" s="51"/>
    </row>
    <row r="1128">
      <c r="D1128" s="51"/>
      <c r="G1128" s="51"/>
    </row>
    <row r="1130">
      <c r="A1130" s="51"/>
      <c r="B1130" s="51"/>
      <c r="D1130" s="51"/>
    </row>
    <row r="1131">
      <c r="A1131" s="51"/>
      <c r="B1131" s="51"/>
      <c r="E1131" s="51"/>
      <c r="G1131" s="51"/>
      <c r="H1131" s="51"/>
      <c r="I1131" s="51"/>
    </row>
    <row r="1132">
      <c r="A1132" s="51"/>
      <c r="B1132" s="51"/>
      <c r="D1132" s="51"/>
      <c r="E1132" s="51"/>
      <c r="F1132" s="51"/>
      <c r="G1132" s="51"/>
      <c r="I1132" s="51"/>
    </row>
    <row r="1133">
      <c r="A1133" s="51"/>
      <c r="D1133" s="51"/>
      <c r="E1133" s="51"/>
      <c r="F1133" s="51"/>
      <c r="G1133" s="51"/>
    </row>
    <row r="1134">
      <c r="A1134" s="51"/>
      <c r="B1134" s="51"/>
      <c r="D1134" s="51"/>
      <c r="G1134" s="51"/>
      <c r="H1134" s="51"/>
      <c r="I1134" s="51"/>
    </row>
    <row r="1135">
      <c r="A1135" s="51"/>
      <c r="B1135" s="51"/>
      <c r="F1135" s="51"/>
      <c r="G1135" s="51"/>
    </row>
    <row r="1136">
      <c r="A1136" s="51"/>
      <c r="B1136" s="51"/>
      <c r="F1136" s="51"/>
      <c r="G1136" s="51"/>
    </row>
    <row r="1137">
      <c r="A1137" s="51"/>
      <c r="B1137" s="51"/>
      <c r="D1137" s="51"/>
    </row>
    <row r="1138">
      <c r="A1138" s="51"/>
      <c r="B1138" s="51"/>
      <c r="D1138" s="51"/>
    </row>
    <row r="1139">
      <c r="A1139" s="51"/>
      <c r="B1139" s="51"/>
      <c r="D1139" s="51"/>
    </row>
    <row r="1140">
      <c r="D1140" s="51"/>
      <c r="I1140" s="51"/>
    </row>
    <row r="1141">
      <c r="A1141" s="51"/>
      <c r="D1141" s="51"/>
      <c r="I1141" s="51"/>
    </row>
    <row r="1142">
      <c r="A1142" s="51"/>
      <c r="D1142" s="51"/>
      <c r="G1142" s="51"/>
    </row>
    <row r="1143">
      <c r="A1143" s="51"/>
      <c r="G1143" s="51"/>
    </row>
    <row r="1144">
      <c r="A1144" s="51"/>
      <c r="D1144" s="51"/>
      <c r="G1144" s="51"/>
    </row>
    <row r="1145">
      <c r="A1145" s="51"/>
      <c r="D1145" s="51"/>
      <c r="G1145" s="51"/>
    </row>
    <row r="1146">
      <c r="A1146" s="51"/>
      <c r="D1146" s="51"/>
      <c r="G1146" s="51"/>
    </row>
    <row r="1147">
      <c r="A1147" s="51"/>
      <c r="D1147" s="51"/>
      <c r="G1147" s="51"/>
    </row>
    <row r="1148">
      <c r="D1148" s="51"/>
      <c r="G1148" s="51"/>
    </row>
    <row r="1149">
      <c r="A1149" s="51"/>
      <c r="D1149" s="51"/>
      <c r="G1149" s="51"/>
    </row>
    <row r="1150">
      <c r="A1150" s="51"/>
    </row>
    <row r="1151">
      <c r="A1151" s="51"/>
      <c r="D1151" s="51"/>
    </row>
    <row r="1152">
      <c r="A1152" s="51"/>
    </row>
    <row r="1153">
      <c r="A1153" s="51"/>
    </row>
    <row r="1154">
      <c r="G1154" s="51"/>
    </row>
    <row r="1155">
      <c r="D1155" s="51"/>
    </row>
    <row r="1156">
      <c r="G1156" s="51"/>
    </row>
    <row r="1157">
      <c r="G1157" s="51"/>
    </row>
    <row r="1158">
      <c r="D1158" s="51"/>
      <c r="G1158" s="51"/>
    </row>
    <row r="1160">
      <c r="A1160" s="51"/>
      <c r="B1160" s="51"/>
      <c r="D1160" s="51"/>
    </row>
    <row r="1161">
      <c r="A1161" s="51"/>
      <c r="B1161" s="51"/>
      <c r="E1161" s="51"/>
      <c r="G1161" s="51"/>
      <c r="H1161" s="51"/>
      <c r="I1161" s="51"/>
    </row>
    <row r="1162">
      <c r="A1162" s="51"/>
      <c r="B1162" s="51"/>
      <c r="D1162" s="51"/>
      <c r="E1162" s="51"/>
      <c r="F1162" s="51"/>
      <c r="G1162" s="51"/>
      <c r="I1162" s="51"/>
    </row>
    <row r="1163">
      <c r="A1163" s="51"/>
      <c r="D1163" s="51"/>
      <c r="E1163" s="51"/>
      <c r="F1163" s="51"/>
      <c r="G1163" s="51"/>
    </row>
    <row r="1164">
      <c r="A1164" s="51"/>
      <c r="B1164" s="51"/>
      <c r="D1164" s="51"/>
      <c r="G1164" s="51"/>
      <c r="H1164" s="51"/>
      <c r="I1164" s="51"/>
    </row>
    <row r="1165">
      <c r="A1165" s="51"/>
      <c r="B1165" s="51"/>
      <c r="F1165" s="51"/>
      <c r="G1165" s="51"/>
    </row>
    <row r="1166">
      <c r="A1166" s="51"/>
      <c r="B1166" s="51"/>
      <c r="F1166" s="51"/>
      <c r="G1166" s="51"/>
    </row>
    <row r="1167">
      <c r="A1167" s="51"/>
      <c r="B1167" s="51"/>
      <c r="D1167" s="51"/>
    </row>
    <row r="1168">
      <c r="A1168" s="51"/>
      <c r="B1168" s="51"/>
      <c r="D1168" s="51"/>
    </row>
    <row r="1169">
      <c r="A1169" s="51"/>
      <c r="B1169" s="51"/>
      <c r="D1169" s="51"/>
    </row>
    <row r="1170">
      <c r="D1170" s="51"/>
      <c r="I1170" s="51"/>
    </row>
    <row r="1171">
      <c r="A1171" s="51"/>
      <c r="D1171" s="51"/>
      <c r="I1171" s="51"/>
    </row>
    <row r="1172">
      <c r="A1172" s="51"/>
      <c r="D1172" s="51"/>
      <c r="G1172" s="51"/>
    </row>
    <row r="1173">
      <c r="A1173" s="51"/>
      <c r="G1173" s="51"/>
    </row>
    <row r="1174">
      <c r="A1174" s="51"/>
      <c r="D1174" s="51"/>
      <c r="G1174" s="51"/>
    </row>
    <row r="1175">
      <c r="A1175" s="51"/>
      <c r="D1175" s="51"/>
      <c r="G1175" s="51"/>
    </row>
    <row r="1176">
      <c r="A1176" s="51"/>
      <c r="D1176" s="51"/>
      <c r="G1176" s="51"/>
    </row>
    <row r="1177">
      <c r="A1177" s="51"/>
      <c r="D1177" s="51"/>
      <c r="G1177" s="51"/>
    </row>
    <row r="1178">
      <c r="D1178" s="51"/>
      <c r="G1178" s="51"/>
    </row>
    <row r="1179">
      <c r="A1179" s="51"/>
      <c r="D1179" s="51"/>
      <c r="G1179" s="51"/>
    </row>
    <row r="1180">
      <c r="A1180" s="51"/>
    </row>
    <row r="1181">
      <c r="A1181" s="51"/>
      <c r="D1181" s="51"/>
    </row>
    <row r="1182">
      <c r="A1182" s="51"/>
    </row>
    <row r="1183">
      <c r="A1183" s="51"/>
    </row>
    <row r="1184">
      <c r="G1184" s="51"/>
    </row>
    <row r="1185">
      <c r="D1185" s="51"/>
    </row>
    <row r="1186">
      <c r="G1186" s="51"/>
    </row>
    <row r="1187">
      <c r="G1187" s="51"/>
    </row>
    <row r="1188">
      <c r="D1188" s="51"/>
      <c r="G1188" s="51"/>
    </row>
    <row r="1190">
      <c r="A1190" s="51"/>
      <c r="B1190" s="51"/>
      <c r="D1190" s="51"/>
    </row>
    <row r="1191">
      <c r="A1191" s="51"/>
      <c r="B1191" s="51"/>
      <c r="E1191" s="51"/>
      <c r="G1191" s="51"/>
      <c r="H1191" s="51"/>
      <c r="I1191" s="51"/>
    </row>
    <row r="1192">
      <c r="A1192" s="51"/>
      <c r="B1192" s="51"/>
      <c r="D1192" s="51"/>
      <c r="E1192" s="51"/>
      <c r="F1192" s="51"/>
      <c r="G1192" s="51"/>
      <c r="I1192" s="51"/>
    </row>
    <row r="1193">
      <c r="A1193" s="51"/>
      <c r="D1193" s="51"/>
      <c r="E1193" s="51"/>
      <c r="F1193" s="51"/>
      <c r="G1193" s="51"/>
    </row>
    <row r="1194">
      <c r="A1194" s="51"/>
      <c r="B1194" s="51"/>
      <c r="D1194" s="51"/>
      <c r="G1194" s="51"/>
      <c r="H1194" s="51"/>
      <c r="I1194" s="51"/>
    </row>
    <row r="1195">
      <c r="A1195" s="51"/>
      <c r="B1195" s="51"/>
      <c r="F1195" s="51"/>
      <c r="G1195" s="51"/>
    </row>
    <row r="1196">
      <c r="A1196" s="51"/>
      <c r="B1196" s="51"/>
      <c r="F1196" s="51"/>
      <c r="G1196" s="51"/>
    </row>
    <row r="1197">
      <c r="A1197" s="51"/>
      <c r="B1197" s="51"/>
      <c r="D1197" s="51"/>
    </row>
    <row r="1198">
      <c r="A1198" s="51"/>
      <c r="B1198" s="51"/>
      <c r="D1198" s="51"/>
    </row>
    <row r="1199">
      <c r="A1199" s="51"/>
      <c r="B1199" s="51"/>
      <c r="D1199" s="51"/>
    </row>
    <row r="1200">
      <c r="D1200" s="51"/>
      <c r="I1200" s="51"/>
    </row>
    <row r="1201">
      <c r="A1201" s="51"/>
      <c r="D1201" s="51"/>
      <c r="I1201" s="51"/>
    </row>
    <row r="1202">
      <c r="A1202" s="51"/>
      <c r="D1202" s="51"/>
      <c r="G1202" s="51"/>
    </row>
    <row r="1203">
      <c r="A1203" s="51"/>
      <c r="G1203" s="51"/>
    </row>
    <row r="1204">
      <c r="A1204" s="51"/>
      <c r="D1204" s="51"/>
      <c r="G1204" s="51"/>
    </row>
    <row r="1205">
      <c r="A1205" s="51"/>
      <c r="D1205" s="51"/>
      <c r="G1205" s="51"/>
    </row>
    <row r="1206">
      <c r="A1206" s="51"/>
      <c r="D1206" s="51"/>
      <c r="G1206" s="51"/>
    </row>
    <row r="1207">
      <c r="A1207" s="51"/>
      <c r="D1207" s="51"/>
      <c r="G1207" s="51"/>
    </row>
    <row r="1208">
      <c r="D1208" s="51"/>
      <c r="G1208" s="51"/>
    </row>
    <row r="1209">
      <c r="A1209" s="51"/>
      <c r="D1209" s="51"/>
      <c r="G1209" s="51"/>
    </row>
    <row r="1210">
      <c r="A1210" s="51"/>
    </row>
    <row r="1211">
      <c r="A1211" s="51"/>
      <c r="D1211" s="51"/>
    </row>
    <row r="1212">
      <c r="A1212" s="51"/>
    </row>
    <row r="1213">
      <c r="A1213" s="51"/>
    </row>
    <row r="1214">
      <c r="G1214" s="51"/>
    </row>
    <row r="1215">
      <c r="D1215" s="51"/>
    </row>
    <row r="1216">
      <c r="G1216" s="51"/>
    </row>
    <row r="1217">
      <c r="G1217" s="51"/>
    </row>
    <row r="1218">
      <c r="D1218" s="51"/>
      <c r="G1218" s="51"/>
    </row>
    <row r="1220">
      <c r="A1220" s="51"/>
      <c r="B1220" s="51"/>
      <c r="D1220" s="51"/>
    </row>
    <row r="1221">
      <c r="A1221" s="51"/>
      <c r="B1221" s="51"/>
      <c r="E1221" s="51"/>
      <c r="G1221" s="51"/>
      <c r="H1221" s="51"/>
      <c r="I1221" s="51"/>
    </row>
    <row r="1222">
      <c r="A1222" s="51"/>
      <c r="B1222" s="51"/>
      <c r="D1222" s="51"/>
      <c r="E1222" s="51"/>
      <c r="F1222" s="51"/>
      <c r="G1222" s="51"/>
      <c r="I1222" s="51"/>
    </row>
    <row r="1223">
      <c r="A1223" s="51"/>
      <c r="D1223" s="51"/>
      <c r="E1223" s="51"/>
      <c r="F1223" s="51"/>
      <c r="G1223" s="51"/>
    </row>
    <row r="1224">
      <c r="A1224" s="51"/>
      <c r="B1224" s="51"/>
      <c r="D1224" s="51"/>
      <c r="G1224" s="51"/>
      <c r="H1224" s="51"/>
      <c r="I1224" s="51"/>
    </row>
    <row r="1225">
      <c r="A1225" s="51"/>
      <c r="B1225" s="51"/>
      <c r="F1225" s="51"/>
      <c r="G1225" s="51"/>
    </row>
    <row r="1226">
      <c r="A1226" s="51"/>
      <c r="B1226" s="51"/>
      <c r="F1226" s="51"/>
      <c r="G1226" s="51"/>
    </row>
    <row r="1227">
      <c r="A1227" s="51"/>
      <c r="B1227" s="51"/>
      <c r="D1227" s="51"/>
    </row>
    <row r="1228">
      <c r="A1228" s="51"/>
      <c r="B1228" s="51"/>
      <c r="D1228" s="51"/>
    </row>
    <row r="1229">
      <c r="A1229" s="51"/>
      <c r="B1229" s="51"/>
      <c r="D1229" s="51"/>
    </row>
    <row r="1230">
      <c r="D1230" s="51"/>
      <c r="I1230" s="51"/>
    </row>
    <row r="1231">
      <c r="A1231" s="51"/>
      <c r="D1231" s="51"/>
      <c r="I1231" s="51"/>
    </row>
    <row r="1232">
      <c r="A1232" s="51"/>
      <c r="D1232" s="51"/>
      <c r="G1232" s="51"/>
    </row>
    <row r="1233">
      <c r="A1233" s="51"/>
      <c r="G1233" s="51"/>
    </row>
    <row r="1234">
      <c r="A1234" s="51"/>
      <c r="D1234" s="51"/>
      <c r="G1234" s="51"/>
    </row>
    <row r="1235">
      <c r="A1235" s="51"/>
      <c r="D1235" s="51"/>
      <c r="G1235" s="51"/>
    </row>
    <row r="1236">
      <c r="A1236" s="51"/>
      <c r="D1236" s="51"/>
      <c r="G1236" s="51"/>
    </row>
    <row r="1237">
      <c r="A1237" s="51"/>
      <c r="D1237" s="51"/>
      <c r="G1237" s="51"/>
    </row>
    <row r="1238">
      <c r="D1238" s="51"/>
      <c r="G1238" s="51"/>
    </row>
    <row r="1239">
      <c r="A1239" s="51"/>
      <c r="D1239" s="51"/>
      <c r="G1239" s="51"/>
    </row>
    <row r="1240">
      <c r="A1240" s="51"/>
    </row>
    <row r="1241">
      <c r="A1241" s="51"/>
      <c r="D1241" s="51"/>
    </row>
    <row r="1242">
      <c r="A1242" s="51"/>
    </row>
    <row r="1243">
      <c r="A1243" s="51"/>
    </row>
    <row r="1244">
      <c r="G1244" s="51"/>
    </row>
    <row r="1245">
      <c r="D1245" s="51"/>
    </row>
    <row r="1246">
      <c r="G1246" s="51"/>
    </row>
    <row r="1247">
      <c r="G1247" s="51"/>
    </row>
    <row r="1248">
      <c r="D1248" s="51"/>
      <c r="G1248" s="51"/>
    </row>
    <row r="1250">
      <c r="A1250" s="51"/>
      <c r="B1250" s="51"/>
      <c r="D1250" s="51"/>
    </row>
    <row r="1251">
      <c r="A1251" s="51"/>
      <c r="B1251" s="51"/>
      <c r="E1251" s="51"/>
      <c r="G1251" s="51"/>
      <c r="H1251" s="51"/>
      <c r="I1251" s="51"/>
    </row>
    <row r="1252">
      <c r="A1252" s="51"/>
      <c r="B1252" s="51"/>
      <c r="D1252" s="51"/>
      <c r="E1252" s="51"/>
      <c r="F1252" s="51"/>
      <c r="G1252" s="51"/>
      <c r="I1252" s="51"/>
    </row>
    <row r="1253">
      <c r="A1253" s="51"/>
      <c r="D1253" s="51"/>
      <c r="E1253" s="51"/>
      <c r="F1253" s="51"/>
      <c r="G1253" s="51"/>
    </row>
    <row r="1254">
      <c r="A1254" s="51"/>
      <c r="B1254" s="51"/>
      <c r="D1254" s="51"/>
      <c r="G1254" s="51"/>
      <c r="H1254" s="51"/>
      <c r="I1254" s="51"/>
    </row>
    <row r="1255">
      <c r="A1255" s="51"/>
      <c r="B1255" s="51"/>
      <c r="F1255" s="51"/>
      <c r="G1255" s="51"/>
    </row>
    <row r="1256">
      <c r="A1256" s="51"/>
      <c r="B1256" s="51"/>
      <c r="F1256" s="51"/>
      <c r="G1256" s="51"/>
    </row>
    <row r="1257">
      <c r="A1257" s="51"/>
      <c r="B1257" s="51"/>
      <c r="D1257" s="51"/>
    </row>
    <row r="1258">
      <c r="A1258" s="51"/>
      <c r="B1258" s="51"/>
      <c r="D1258" s="51"/>
    </row>
    <row r="1259">
      <c r="A1259" s="51"/>
      <c r="B1259" s="51"/>
      <c r="D1259" s="51"/>
    </row>
    <row r="1260">
      <c r="D1260" s="51"/>
      <c r="I1260" s="51"/>
    </row>
    <row r="1261">
      <c r="A1261" s="51"/>
      <c r="D1261" s="51"/>
      <c r="I1261" s="51"/>
    </row>
    <row r="1262">
      <c r="A1262" s="51"/>
      <c r="D1262" s="51"/>
      <c r="G1262" s="51"/>
    </row>
    <row r="1263">
      <c r="A1263" s="51"/>
      <c r="G1263" s="51"/>
    </row>
    <row r="1264">
      <c r="A1264" s="51"/>
      <c r="D1264" s="51"/>
      <c r="G1264" s="51"/>
    </row>
    <row r="1265">
      <c r="A1265" s="51"/>
      <c r="D1265" s="51"/>
      <c r="G1265" s="51"/>
    </row>
    <row r="1266">
      <c r="A1266" s="51"/>
      <c r="D1266" s="51"/>
      <c r="G1266" s="51"/>
    </row>
    <row r="1267">
      <c r="A1267" s="51"/>
      <c r="D1267" s="51"/>
      <c r="G1267" s="51"/>
    </row>
    <row r="1268">
      <c r="D1268" s="51"/>
      <c r="G1268" s="51"/>
    </row>
    <row r="1269">
      <c r="A1269" s="51"/>
      <c r="D1269" s="51"/>
      <c r="G1269" s="51"/>
    </row>
    <row r="1270">
      <c r="A1270" s="51"/>
    </row>
    <row r="1271">
      <c r="A1271" s="51"/>
      <c r="D1271" s="51"/>
    </row>
    <row r="1272">
      <c r="A1272" s="51"/>
    </row>
    <row r="1273">
      <c r="A1273" s="51"/>
    </row>
    <row r="1274">
      <c r="G1274" s="51"/>
    </row>
    <row r="1275">
      <c r="D1275" s="51"/>
    </row>
    <row r="1276">
      <c r="G1276" s="51"/>
    </row>
    <row r="1277">
      <c r="G1277" s="51"/>
    </row>
    <row r="1278">
      <c r="D1278" s="51"/>
      <c r="G1278" s="51"/>
    </row>
    <row r="1280">
      <c r="A1280" s="51"/>
      <c r="B1280" s="51"/>
      <c r="D1280" s="51"/>
    </row>
    <row r="1281">
      <c r="A1281" s="51"/>
      <c r="B1281" s="51"/>
      <c r="E1281" s="51"/>
      <c r="G1281" s="51"/>
      <c r="H1281" s="51"/>
      <c r="I1281" s="51"/>
    </row>
    <row r="1282">
      <c r="A1282" s="51"/>
      <c r="B1282" s="51"/>
      <c r="D1282" s="51"/>
      <c r="E1282" s="51"/>
      <c r="F1282" s="51"/>
      <c r="G1282" s="51"/>
      <c r="I1282" s="51"/>
    </row>
    <row r="1283">
      <c r="A1283" s="51"/>
      <c r="D1283" s="51"/>
      <c r="E1283" s="51"/>
      <c r="F1283" s="51"/>
      <c r="G1283" s="51"/>
    </row>
    <row r="1284">
      <c r="A1284" s="51"/>
      <c r="B1284" s="51"/>
      <c r="D1284" s="51"/>
      <c r="G1284" s="51"/>
      <c r="H1284" s="51"/>
      <c r="I1284" s="51"/>
    </row>
    <row r="1285">
      <c r="A1285" s="51"/>
      <c r="B1285" s="51"/>
      <c r="F1285" s="51"/>
      <c r="G1285" s="51"/>
    </row>
    <row r="1286">
      <c r="A1286" s="51"/>
      <c r="B1286" s="51"/>
      <c r="F1286" s="51"/>
      <c r="G1286" s="51"/>
    </row>
    <row r="1287">
      <c r="A1287" s="51"/>
      <c r="B1287" s="51"/>
      <c r="D1287" s="51"/>
    </row>
    <row r="1288">
      <c r="A1288" s="51"/>
      <c r="B1288" s="51"/>
      <c r="D1288" s="51"/>
    </row>
    <row r="1289">
      <c r="A1289" s="51"/>
      <c r="B1289" s="51"/>
      <c r="D1289" s="51"/>
    </row>
    <row r="1290">
      <c r="D1290" s="51"/>
      <c r="I1290" s="51"/>
    </row>
    <row r="1291">
      <c r="A1291" s="51"/>
      <c r="D1291" s="51"/>
      <c r="I1291" s="51"/>
    </row>
    <row r="1292">
      <c r="A1292" s="51"/>
      <c r="D1292" s="51"/>
      <c r="G1292" s="51"/>
    </row>
    <row r="1293">
      <c r="A1293" s="51"/>
      <c r="G1293" s="51"/>
    </row>
    <row r="1294">
      <c r="A1294" s="51"/>
      <c r="D1294" s="51"/>
      <c r="G1294" s="51"/>
    </row>
    <row r="1295">
      <c r="A1295" s="51"/>
      <c r="D1295" s="51"/>
      <c r="G1295" s="51"/>
    </row>
    <row r="1296">
      <c r="A1296" s="51"/>
      <c r="D1296" s="51"/>
      <c r="G1296" s="51"/>
    </row>
    <row r="1297">
      <c r="A1297" s="51"/>
      <c r="D1297" s="51"/>
      <c r="G1297" s="51"/>
    </row>
    <row r="1298">
      <c r="D1298" s="51"/>
      <c r="G1298" s="51"/>
    </row>
    <row r="1299">
      <c r="A1299" s="51"/>
      <c r="D1299" s="51"/>
      <c r="G1299" s="51"/>
    </row>
    <row r="1300">
      <c r="A1300" s="51"/>
    </row>
    <row r="1301">
      <c r="A1301" s="51"/>
      <c r="D1301" s="51"/>
    </row>
    <row r="1302">
      <c r="A1302" s="51"/>
    </row>
    <row r="1303">
      <c r="A1303" s="51"/>
    </row>
    <row r="1304">
      <c r="G1304" s="51"/>
    </row>
    <row r="1305">
      <c r="D1305" s="51"/>
    </row>
    <row r="1306">
      <c r="G1306" s="51"/>
    </row>
    <row r="1307">
      <c r="G1307" s="51"/>
    </row>
    <row r="1308">
      <c r="D1308" s="51"/>
      <c r="G1308" s="51"/>
    </row>
    <row r="1310">
      <c r="A1310" s="51"/>
      <c r="B1310" s="51"/>
      <c r="D1310" s="51"/>
    </row>
    <row r="1311">
      <c r="A1311" s="51"/>
      <c r="B1311" s="51"/>
      <c r="E1311" s="51"/>
      <c r="G1311" s="51"/>
      <c r="H1311" s="51"/>
      <c r="I1311" s="51"/>
    </row>
    <row r="1312">
      <c r="A1312" s="51"/>
      <c r="B1312" s="51"/>
      <c r="D1312" s="51"/>
      <c r="E1312" s="51"/>
      <c r="F1312" s="51"/>
      <c r="G1312" s="51"/>
      <c r="I1312" s="51"/>
    </row>
    <row r="1313">
      <c r="A1313" s="51"/>
      <c r="D1313" s="51"/>
      <c r="E1313" s="51"/>
      <c r="F1313" s="51"/>
      <c r="G1313" s="51"/>
    </row>
    <row r="1314">
      <c r="A1314" s="51"/>
      <c r="B1314" s="51"/>
      <c r="D1314" s="51"/>
      <c r="G1314" s="51"/>
      <c r="H1314" s="51"/>
      <c r="I1314" s="51"/>
    </row>
    <row r="1315">
      <c r="A1315" s="51"/>
      <c r="B1315" s="51"/>
      <c r="F1315" s="51"/>
      <c r="G1315" s="51"/>
    </row>
    <row r="1316">
      <c r="A1316" s="51"/>
      <c r="B1316" s="51"/>
      <c r="F1316" s="51"/>
      <c r="G1316" s="51"/>
    </row>
    <row r="1317">
      <c r="A1317" s="51"/>
      <c r="B1317" s="51"/>
      <c r="D1317" s="51"/>
    </row>
    <row r="1318">
      <c r="A1318" s="51"/>
      <c r="B1318" s="51"/>
      <c r="D1318" s="51"/>
    </row>
    <row r="1319">
      <c r="A1319" s="51"/>
      <c r="B1319" s="51"/>
      <c r="D1319" s="51"/>
    </row>
    <row r="1320">
      <c r="D1320" s="51"/>
      <c r="I1320" s="51"/>
    </row>
    <row r="1321">
      <c r="A1321" s="51"/>
      <c r="D1321" s="51"/>
      <c r="I1321" s="51"/>
    </row>
    <row r="1322">
      <c r="A1322" s="51"/>
      <c r="D1322" s="51"/>
      <c r="G1322" s="51"/>
    </row>
    <row r="1323">
      <c r="A1323" s="51"/>
      <c r="G1323" s="51"/>
    </row>
    <row r="1324">
      <c r="A1324" s="51"/>
      <c r="D1324" s="51"/>
      <c r="G1324" s="51"/>
    </row>
    <row r="1325">
      <c r="A1325" s="51"/>
      <c r="D1325" s="51"/>
      <c r="G1325" s="51"/>
    </row>
    <row r="1326">
      <c r="A1326" s="51"/>
      <c r="D1326" s="51"/>
      <c r="G1326" s="51"/>
    </row>
    <row r="1327">
      <c r="A1327" s="51"/>
      <c r="D1327" s="51"/>
      <c r="G1327" s="51"/>
    </row>
    <row r="1328">
      <c r="D1328" s="51"/>
      <c r="G1328" s="51"/>
    </row>
    <row r="1329">
      <c r="A1329" s="51"/>
      <c r="D1329" s="51"/>
      <c r="G1329" s="51"/>
    </row>
    <row r="1330">
      <c r="A1330" s="51"/>
    </row>
    <row r="1331">
      <c r="A1331" s="51"/>
      <c r="D1331" s="51"/>
    </row>
    <row r="1332">
      <c r="A1332" s="51"/>
    </row>
    <row r="1333">
      <c r="A1333" s="51"/>
    </row>
    <row r="1334">
      <c r="G1334" s="51"/>
    </row>
    <row r="1335">
      <c r="D1335" s="51"/>
    </row>
    <row r="1336">
      <c r="G1336" s="51"/>
    </row>
    <row r="1337">
      <c r="G1337" s="51"/>
    </row>
    <row r="1338">
      <c r="D1338" s="51"/>
      <c r="G1338" s="51"/>
    </row>
    <row r="1340">
      <c r="A1340" s="51"/>
      <c r="B1340" s="51"/>
      <c r="D1340" s="51"/>
    </row>
    <row r="1341">
      <c r="A1341" s="51"/>
      <c r="B1341" s="51"/>
      <c r="E1341" s="51"/>
      <c r="G1341" s="51"/>
      <c r="H1341" s="51"/>
      <c r="I1341" s="51"/>
    </row>
    <row r="1342">
      <c r="A1342" s="51"/>
      <c r="B1342" s="51"/>
      <c r="D1342" s="51"/>
      <c r="E1342" s="51"/>
      <c r="F1342" s="51"/>
      <c r="G1342" s="51"/>
      <c r="I1342" s="51"/>
    </row>
    <row r="1343">
      <c r="A1343" s="51"/>
      <c r="D1343" s="51"/>
      <c r="E1343" s="51"/>
      <c r="F1343" s="51"/>
      <c r="G1343" s="51"/>
    </row>
    <row r="1344">
      <c r="A1344" s="51"/>
      <c r="B1344" s="51"/>
      <c r="D1344" s="51"/>
      <c r="G1344" s="51"/>
      <c r="H1344" s="51"/>
      <c r="I1344" s="51"/>
    </row>
    <row r="1345">
      <c r="A1345" s="51"/>
      <c r="B1345" s="51"/>
      <c r="F1345" s="51"/>
      <c r="G1345" s="51"/>
    </row>
    <row r="1346">
      <c r="A1346" s="51"/>
      <c r="B1346" s="51"/>
      <c r="F1346" s="51"/>
      <c r="G1346" s="51"/>
    </row>
    <row r="1347">
      <c r="A1347" s="51"/>
      <c r="B1347" s="51"/>
      <c r="D1347" s="51"/>
    </row>
    <row r="1348">
      <c r="A1348" s="51"/>
      <c r="B1348" s="51"/>
      <c r="D1348" s="51"/>
    </row>
    <row r="1349">
      <c r="A1349" s="51"/>
      <c r="B1349" s="51"/>
      <c r="D1349" s="51"/>
    </row>
    <row r="1350">
      <c r="D1350" s="51"/>
      <c r="I1350" s="51"/>
    </row>
    <row r="1351">
      <c r="A1351" s="51"/>
      <c r="D1351" s="51"/>
      <c r="I1351" s="51"/>
    </row>
    <row r="1352">
      <c r="A1352" s="51"/>
      <c r="D1352" s="51"/>
      <c r="G1352" s="51"/>
    </row>
    <row r="1353">
      <c r="A1353" s="51"/>
      <c r="G1353" s="51"/>
    </row>
    <row r="1354">
      <c r="A1354" s="51"/>
      <c r="D1354" s="51"/>
      <c r="G1354" s="51"/>
    </row>
    <row r="1355">
      <c r="A1355" s="51"/>
      <c r="D1355" s="51"/>
      <c r="G1355" s="51"/>
    </row>
    <row r="1356">
      <c r="A1356" s="51"/>
      <c r="D1356" s="51"/>
      <c r="G1356" s="51"/>
    </row>
    <row r="1357">
      <c r="A1357" s="51"/>
      <c r="D1357" s="51"/>
      <c r="G1357" s="51"/>
    </row>
    <row r="1358">
      <c r="D1358" s="51"/>
      <c r="G1358" s="51"/>
    </row>
    <row r="1359">
      <c r="A1359" s="51"/>
      <c r="D1359" s="51"/>
      <c r="G1359" s="51"/>
    </row>
    <row r="1360">
      <c r="A1360" s="51"/>
    </row>
    <row r="1361">
      <c r="A1361" s="51"/>
      <c r="D1361" s="51"/>
    </row>
    <row r="1362">
      <c r="A1362" s="51"/>
    </row>
    <row r="1363">
      <c r="A1363" s="51"/>
    </row>
    <row r="1364">
      <c r="G1364" s="51"/>
    </row>
    <row r="1365">
      <c r="D1365" s="51"/>
    </row>
    <row r="1366">
      <c r="G1366" s="51"/>
    </row>
    <row r="1367">
      <c r="G1367" s="51"/>
    </row>
    <row r="1368">
      <c r="D1368" s="51"/>
      <c r="G1368" s="51"/>
    </row>
  </sheetData>
  <conditionalFormatting sqref="E42:E44 E46:E48 E72:E74 E76:E78 E102:E104 E106:E108 E132:E134 E136:E138 E162:E164 E166:E168 E192:E194 E196:E198 E222:E224 E226:E228 E252:E254 E256:E258 E282:E284 E286:E288 E312:E314 E316:E318 E342:E344 E346:E348 E372:E374 E376:E378 E402:E404 E406:E408 E432:E434 E436:E438 E462:E464 E466:E468 E492:E494 E496:E498 E522:E524 E526:E528 E552:E554 E556:E558 E582:E584 E586:E588 E612:E614 E616:E618 E642:E644 E646:E648 E672:E674 E676:E678 E702:E704 E706:E708 E732:E734 E736:E738 E762:E764 E766:E768 E792:E794 E796:E798 E822:E824 E826:E828 E852:E854 E856:E858 E882:E884 E886:E888 E912:E914 E916:E918 E942:E944 E946:E948 E972:E974 E976:E978 E1002:E1004 E1006:E1008 E1032:E1034 E1036:E1038 E1062:E1064 E1066:E1068">
    <cfRule type="cellIs" dxfId="0" priority="1" operator="greaterThan">
      <formula>0</formula>
    </cfRule>
  </conditionalFormatting>
  <conditionalFormatting sqref="E42:E44 E46:E48 E72:E74 E76:E78 E102:E104 E106:E108 E132:E134 E136:E138 E162:E164 E166:E168 E192:E194 E196:E198 E222:E224 E226:E228 E252:E254 E256:E258 E282:E284 E286:E288 E312:E314 E316:E318 E342:E344 E346:E348 E372:E374 E376:E378 E402:E404 E406:E408 E432:E434 E436:E438 E462:E464 E466:E468 E492:E494 E496:E498 E522:E524 E526:E528 E552:E554 E556:E558 E582:E584 E586:E588 E612:E614 E616:E618 E642:E644 E646:E648 E672:E674 E676:E678 E702:E704 E706:E708 E732:E734 E736:E738 E762:E764 E766:E768 E792:E794 E796:E798 E822:E824 E826:E828 E852:E854 E856:E858 E882:E884 E886:E888 E912:E914 E916:E918 E942:E944 E946:E948 E972:E974 E976:E978 E1002:E1004 E1006:E1008 E1032:E1034 E1036:E1038 E1062:E1064 E1066:E1068">
    <cfRule type="cellIs" dxfId="1" priority="2" operator="lessThan">
      <formula>0</formula>
    </cfRule>
  </conditionalFormatting>
  <conditionalFormatting sqref="H48 H78 H108 H138 H168 H198 H228 H258 H288 H318 H348 H378 H408 H438 H468 H498 H528 H558 H588 H618 H648 H678 H708 H738 H768 H798 H828 H858 H888 H918 H948 H978 H1008 H1038 H1068">
    <cfRule type="cellIs" dxfId="2" priority="3" operator="greaterThanOrEqual">
      <formula>0</formula>
    </cfRule>
  </conditionalFormatting>
  <conditionalFormatting sqref="H48 H78 H108 H138 H168 H198 H228 H258 H288 H318 H348 H378 H408 H438 H468 H498 H528 H558 H588 H618 H648 H678 H708 H738 H768 H798 H828 H858 H888 H918 H948 H978 H1008 H1038 H1068">
    <cfRule type="cellIs" dxfId="1" priority="4" operator="lessThan">
      <formula>0</formula>
    </cfRule>
  </conditionalFormatting>
  <conditionalFormatting sqref="H47 H77 H107 H137 H167 H197 H227 H257 H287 H317 H347 H377 H407 H437 H467 H497 H527 H557 H587 H617 H647 H677 H707 H737 H767 H797 H827 H857 H887 H917 H947 H977 H1007 H1037 H1067">
    <cfRule type="cellIs" dxfId="2" priority="5" operator="lessThan">
      <formula>"H24"</formula>
    </cfRule>
  </conditionalFormatting>
  <conditionalFormatting sqref="H47 H77 H107 H137 H167 H197 H227 H257 H287 H317 H347 H377 H407 H437 H467 H497 H527 H557 H587 H617 H647 H677 H707 H737 H767 H797 H827 H857 H887 H917 H947 H977 H1007 H1037 H1067">
    <cfRule type="cellIs" dxfId="3" priority="6" operator="greaterThan">
      <formula>"H24"</formula>
    </cfRule>
  </conditionalFormatting>
  <hyperlinks>
    <hyperlink display="A20" location="Backup!A20" ref="A11"/>
    <hyperlink display="A290" location="Backup!A290" ref="B11"/>
    <hyperlink display="A560" location="Backup!A560" ref="C11"/>
    <hyperlink display="A830" location="Backup!A830" ref="D11"/>
    <hyperlink display="A50" location="Backup!A50" ref="A12"/>
    <hyperlink display="A320" location="Backup!A320" ref="B12"/>
    <hyperlink display="A590" location="Backup!A590" ref="C12"/>
    <hyperlink display="A860" location="Backup!A860" ref="D12"/>
    <hyperlink display="A80" location="Backup!A78" ref="A13"/>
    <hyperlink display="A350" location="Backup!A350" ref="B13"/>
    <hyperlink display="A620" location="Backup!A620" ref="C13"/>
    <hyperlink display="A890" location="Backup!A890" ref="D13"/>
    <hyperlink display="A110" location="Backup!A10" ref="A14"/>
    <hyperlink display="A380" location="Backup!A380" ref="B14"/>
    <hyperlink display="A650" location="Backup!A650" ref="C14"/>
    <hyperlink display="A920" location="Backup!A920" ref="D14"/>
    <hyperlink display="A140" location="Backup!A140" ref="A15"/>
    <hyperlink display="A410" location="Backup!A410" ref="B15"/>
    <hyperlink display="A680" location="Backup!A680" ref="C15"/>
    <hyperlink display="A950" location="Backup!A950" ref="D15"/>
    <hyperlink display="A170" location="Backup!A170" ref="A16"/>
    <hyperlink display="A440" location="Backup!A440" ref="B16"/>
    <hyperlink display="A710" location="Backup!A710" ref="C16"/>
    <hyperlink display="A980" location="Backup!A980" ref="D16"/>
    <hyperlink display="A200" location="Backup!A200" ref="A17"/>
    <hyperlink display="A470" location="Backup!A470" ref="B17"/>
    <hyperlink display="A740" location="Backup!A740" ref="C17"/>
    <hyperlink display="A1010" location="Backup!A1010" ref="D17"/>
    <hyperlink r:id="rId1" ref="A18"/>
    <hyperlink display="A500" location="Backup!A500" ref="B18"/>
    <hyperlink display="A770" location="Backup!A770" ref="C18"/>
    <hyperlink display="A260" location="Backup!A260" ref="A19"/>
    <hyperlink display="A530" location="Backup!A530" ref="B19"/>
    <hyperlink display="A800" location="Backup!A800" ref="C19"/>
  </hyperlinks>
  <drawing r:id="rId2"/>
</worksheet>
</file>