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utilisateur\Desktop\Zenith\"/>
    </mc:Choice>
  </mc:AlternateContent>
  <xr:revisionPtr revIDLastSave="0" documentId="13_ncr:1_{3086863F-E449-47EC-8D5F-84C1E76905F3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ingle Card Xp Needed" sheetId="2" r:id="rId1"/>
    <sheet name="Exp Journey Evo 1 to Evo 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2" l="1"/>
  <c r="L6" i="3"/>
  <c r="K6" i="3"/>
  <c r="J6" i="3"/>
  <c r="I6" i="3"/>
  <c r="H6" i="3"/>
  <c r="G6" i="3"/>
  <c r="F6" i="3"/>
  <c r="J24" i="3"/>
  <c r="J24" i="2"/>
  <c r="C62" i="3" l="1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E6" i="3"/>
  <c r="C6" i="3"/>
  <c r="C5" i="3"/>
  <c r="C4" i="3"/>
  <c r="F7" i="3" l="1"/>
  <c r="J17" i="3" s="1"/>
  <c r="J18" i="3" s="1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E6" i="2"/>
  <c r="C6" i="2"/>
  <c r="C5" i="2"/>
  <c r="C4" i="2"/>
  <c r="F24" i="2" l="1"/>
  <c r="J17" i="2"/>
  <c r="J18" i="2" s="1"/>
  <c r="F11" i="3"/>
  <c r="F10" i="3"/>
  <c r="H10" i="3"/>
  <c r="G11" i="3"/>
  <c r="F24" i="3"/>
  <c r="F20" i="3"/>
  <c r="F22" i="3"/>
  <c r="G10" i="3"/>
  <c r="H11" i="3"/>
  <c r="F25" i="3"/>
  <c r="F23" i="3"/>
  <c r="F21" i="3"/>
  <c r="G9" i="2"/>
  <c r="H9" i="2"/>
  <c r="F20" i="2"/>
  <c r="F23" i="2"/>
  <c r="F9" i="2"/>
  <c r="F19" i="2"/>
  <c r="F22" i="2"/>
  <c r="F10" i="2"/>
  <c r="G10" i="2"/>
  <c r="H10" i="2"/>
  <c r="F21" i="2"/>
</calcChain>
</file>

<file path=xl/sharedStrings.xml><?xml version="1.0" encoding="utf-8"?>
<sst xmlns="http://schemas.openxmlformats.org/spreadsheetml/2006/main" count="88" uniqueCount="42">
  <si>
    <t>Familiar Level</t>
  </si>
  <si>
    <t>Exp</t>
  </si>
  <si>
    <t>Difference in exp</t>
  </si>
  <si>
    <t>Same exp needed regardless of rarity (C / UC / R / SR / UR)</t>
  </si>
  <si>
    <t>Only input in Orange cells</t>
  </si>
  <si>
    <t>-</t>
  </si>
  <si>
    <t>Enter your Current Familiar Level</t>
  </si>
  <si>
    <t>Enter the level you want to reach</t>
  </si>
  <si>
    <t>Enter the current exp of your Familiar</t>
  </si>
  <si>
    <t>C</t>
  </si>
  <si>
    <t>UC</t>
  </si>
  <si>
    <t>R</t>
  </si>
  <si>
    <r>
      <t xml:space="preserve">Amount needed of </t>
    </r>
    <r>
      <rPr>
        <b/>
        <sz val="12"/>
        <color rgb="FF7030A0"/>
        <rFont val="Calibri"/>
        <family val="2"/>
        <scheme val="minor"/>
      </rPr>
      <t>different</t>
    </r>
    <r>
      <rPr>
        <b/>
        <sz val="12"/>
        <color theme="1"/>
        <rFont val="Calibri"/>
        <family val="2"/>
        <scheme val="minor"/>
      </rPr>
      <t xml:space="preserve"> card*</t>
    </r>
  </si>
  <si>
    <r>
      <t xml:space="preserve">Amount needed of </t>
    </r>
    <r>
      <rPr>
        <b/>
        <sz val="12"/>
        <color rgb="FFFF0000"/>
        <rFont val="Calibri"/>
        <family val="2"/>
        <scheme val="minor"/>
      </rPr>
      <t>same</t>
    </r>
    <r>
      <rPr>
        <b/>
        <sz val="12"/>
        <color theme="1"/>
        <rFont val="Calibri"/>
        <family val="2"/>
        <scheme val="minor"/>
      </rPr>
      <t xml:space="preserve"> card*</t>
    </r>
  </si>
  <si>
    <t>*numbers do not add (needed C cards or UR or R not C+UC+R)</t>
  </si>
  <si>
    <r>
      <t xml:space="preserve">Enter number of </t>
    </r>
    <r>
      <rPr>
        <b/>
        <sz val="12"/>
        <color rgb="FF7030A0"/>
        <rFont val="Calibri"/>
        <family val="2"/>
        <scheme val="minor"/>
      </rPr>
      <t>different</t>
    </r>
    <r>
      <rPr>
        <b/>
        <sz val="12"/>
        <color theme="1"/>
        <rFont val="Calibri"/>
        <family val="2"/>
        <scheme val="minor"/>
      </rPr>
      <t xml:space="preserve"> C possessed</t>
    </r>
  </si>
  <si>
    <r>
      <t xml:space="preserve">Enter number of </t>
    </r>
    <r>
      <rPr>
        <b/>
        <sz val="12"/>
        <color rgb="FF7030A0"/>
        <rFont val="Calibri"/>
        <family val="2"/>
        <scheme val="minor"/>
      </rPr>
      <t>different</t>
    </r>
    <r>
      <rPr>
        <b/>
        <sz val="12"/>
        <color theme="1"/>
        <rFont val="Calibri"/>
        <family val="2"/>
        <scheme val="minor"/>
      </rPr>
      <t xml:space="preserve"> UC possessed</t>
    </r>
  </si>
  <si>
    <r>
      <t xml:space="preserve">Enter number of </t>
    </r>
    <r>
      <rPr>
        <b/>
        <sz val="12"/>
        <color rgb="FF7030A0"/>
        <rFont val="Calibri"/>
        <family val="2"/>
        <scheme val="minor"/>
      </rPr>
      <t>different</t>
    </r>
    <r>
      <rPr>
        <b/>
        <sz val="12"/>
        <color theme="1"/>
        <rFont val="Calibri"/>
        <family val="2"/>
        <scheme val="minor"/>
      </rPr>
      <t xml:space="preserve"> R possessed</t>
    </r>
  </si>
  <si>
    <r>
      <t xml:space="preserve">Enter number of </t>
    </r>
    <r>
      <rPr>
        <b/>
        <sz val="12"/>
        <color rgb="FFFF0000"/>
        <rFont val="Calibri"/>
        <family val="2"/>
        <scheme val="minor"/>
      </rPr>
      <t>same</t>
    </r>
    <r>
      <rPr>
        <b/>
        <sz val="12"/>
        <color theme="1"/>
        <rFont val="Calibri"/>
        <family val="2"/>
        <scheme val="minor"/>
      </rPr>
      <t xml:space="preserve"> C possessed</t>
    </r>
  </si>
  <si>
    <r>
      <t xml:space="preserve">Enter number of </t>
    </r>
    <r>
      <rPr>
        <b/>
        <sz val="12"/>
        <color rgb="FFFF0000"/>
        <rFont val="Calibri"/>
        <family val="2"/>
        <scheme val="minor"/>
      </rPr>
      <t>same</t>
    </r>
    <r>
      <rPr>
        <b/>
        <sz val="12"/>
        <color theme="1"/>
        <rFont val="Calibri"/>
        <family val="2"/>
        <scheme val="minor"/>
      </rPr>
      <t xml:space="preserve"> UC possessed</t>
    </r>
  </si>
  <si>
    <r>
      <t xml:space="preserve">Enter number of </t>
    </r>
    <r>
      <rPr>
        <b/>
        <sz val="12"/>
        <color rgb="FFFF0000"/>
        <rFont val="Calibri"/>
        <family val="2"/>
        <scheme val="minor"/>
      </rPr>
      <t>same</t>
    </r>
    <r>
      <rPr>
        <b/>
        <sz val="12"/>
        <color theme="1"/>
        <rFont val="Calibri"/>
        <family val="2"/>
        <scheme val="minor"/>
      </rPr>
      <t xml:space="preserve"> R possessed</t>
    </r>
  </si>
  <si>
    <r>
      <t xml:space="preserve">Amount needed of other </t>
    </r>
    <r>
      <rPr>
        <b/>
        <sz val="12"/>
        <color rgb="FF7030A0"/>
        <rFont val="Calibri"/>
        <family val="2"/>
        <scheme val="minor"/>
      </rPr>
      <t>different</t>
    </r>
    <r>
      <rPr>
        <b/>
        <sz val="12"/>
        <color theme="1"/>
        <rFont val="Calibri"/>
        <family val="2"/>
        <scheme val="minor"/>
      </rPr>
      <t xml:space="preserve"> C*</t>
    </r>
  </si>
  <si>
    <r>
      <t xml:space="preserve">Amount needed of other </t>
    </r>
    <r>
      <rPr>
        <b/>
        <sz val="12"/>
        <color rgb="FF7030A0"/>
        <rFont val="Calibri"/>
        <family val="2"/>
        <scheme val="minor"/>
      </rPr>
      <t>different</t>
    </r>
    <r>
      <rPr>
        <b/>
        <sz val="12"/>
        <color theme="1"/>
        <rFont val="Calibri"/>
        <family val="2"/>
        <scheme val="minor"/>
      </rPr>
      <t xml:space="preserve"> UC*</t>
    </r>
  </si>
  <si>
    <r>
      <t xml:space="preserve">Amount needed of other </t>
    </r>
    <r>
      <rPr>
        <b/>
        <sz val="12"/>
        <color rgb="FF7030A0"/>
        <rFont val="Calibri"/>
        <family val="2"/>
        <scheme val="minor"/>
      </rPr>
      <t>different</t>
    </r>
    <r>
      <rPr>
        <b/>
        <sz val="12"/>
        <color theme="1"/>
        <rFont val="Calibri"/>
        <family val="2"/>
        <scheme val="minor"/>
      </rPr>
      <t xml:space="preserve"> R*</t>
    </r>
  </si>
  <si>
    <r>
      <t xml:space="preserve">Amount needed of other </t>
    </r>
    <r>
      <rPr>
        <b/>
        <sz val="12"/>
        <color rgb="FFFF0000"/>
        <rFont val="Calibri"/>
        <family val="2"/>
        <scheme val="minor"/>
      </rPr>
      <t>same</t>
    </r>
    <r>
      <rPr>
        <b/>
        <sz val="12"/>
        <color theme="1"/>
        <rFont val="Calibri"/>
        <family val="2"/>
        <scheme val="minor"/>
      </rPr>
      <t xml:space="preserve"> C*</t>
    </r>
  </si>
  <si>
    <r>
      <t xml:space="preserve">Amount needed of other </t>
    </r>
    <r>
      <rPr>
        <b/>
        <sz val="12"/>
        <color rgb="FFFF0000"/>
        <rFont val="Calibri"/>
        <family val="2"/>
        <scheme val="minor"/>
      </rPr>
      <t>same</t>
    </r>
    <r>
      <rPr>
        <b/>
        <sz val="12"/>
        <color theme="1"/>
        <rFont val="Calibri"/>
        <family val="2"/>
        <scheme val="minor"/>
      </rPr>
      <t xml:space="preserve"> UC*</t>
    </r>
  </si>
  <si>
    <r>
      <t xml:space="preserve">Amount needed of other </t>
    </r>
    <r>
      <rPr>
        <b/>
        <sz val="12"/>
        <color rgb="FFFF0000"/>
        <rFont val="Calibri"/>
        <family val="2"/>
        <scheme val="minor"/>
      </rPr>
      <t>same</t>
    </r>
    <r>
      <rPr>
        <b/>
        <sz val="12"/>
        <color theme="1"/>
        <rFont val="Calibri"/>
        <family val="2"/>
        <scheme val="minor"/>
      </rPr>
      <t xml:space="preserve"> R*</t>
    </r>
  </si>
  <si>
    <t>Char 1 (Evo 1)</t>
  </si>
  <si>
    <t>Char 2 (Evo 1)</t>
  </si>
  <si>
    <t>Char 3 (Evo 1)</t>
  </si>
  <si>
    <t>Char 4 (Evo 1)</t>
  </si>
  <si>
    <t>Char 5 (Evo 2)</t>
  </si>
  <si>
    <t>Char 6 (Evo 2)</t>
  </si>
  <si>
    <t>Char 7 (Evo 3)</t>
  </si>
  <si>
    <t>The amount of Exp you need to go from Evo 1 to Evo 3 max is:</t>
  </si>
  <si>
    <t>Gold</t>
  </si>
  <si>
    <t>Exp Farm Business (same cards)</t>
  </si>
  <si>
    <t>Total Exp / Gold needed</t>
  </si>
  <si>
    <t>Vendor rate*</t>
  </si>
  <si>
    <t>*Vendor rate (here as reference, modify accordingly)</t>
  </si>
  <si>
    <t>Input exp farmed by vendor to know price</t>
  </si>
  <si>
    <t>Input exp farmed by vendor to know the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</si>
</sst>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8F670"/>
        <bgColor indexed="64"/>
      </patternFill>
    </fill>
    <fill>
      <patternFill patternType="solid">
        <fgColor rgb="FFC9F7B5"/>
        <bgColor indexed="64"/>
      </patternFill>
    </fill>
    <fill>
      <patternFill patternType="solid">
        <fgColor rgb="FFC9DAF8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2" borderId="2" xfId="0" applyFont="1" applyFill="1" applyBorder="1"/>
    <xf numFmtId="0" fontId="1" fillId="4" borderId="2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1" fillId="0" borderId="0" xfId="0" applyFont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CCCC"/>
      <color rgb="FF98F670"/>
      <color rgb="FFFFCC99"/>
      <color rgb="FFC9F7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86F9-8A58-44AA-B20E-11E5CE3B8981}">
  <dimension ref="A1:M63"/>
  <sheetViews>
    <sheetView workbookViewId="0">
      <selection activeCell="F3" sqref="F3"/>
    </sheetView>
  </sheetViews>
  <sheetFormatPr baseColWidth="10" defaultRowHeight="15.6" x14ac:dyDescent="0.3"/>
  <cols>
    <col min="1" max="1" width="13.6640625" style="11" bestFit="1" customWidth="1"/>
    <col min="2" max="2" width="11.5546875" style="11"/>
    <col min="3" max="3" width="16.88671875" style="11" bestFit="1" customWidth="1"/>
    <col min="4" max="4" width="3.21875" customWidth="1"/>
    <col min="5" max="5" width="53.44140625" bestFit="1" customWidth="1"/>
    <col min="8" max="8" width="11.5546875" customWidth="1"/>
    <col min="9" max="9" width="15.33203125" customWidth="1"/>
    <col min="10" max="10" width="14.44140625" customWidth="1"/>
  </cols>
  <sheetData>
    <row r="1" spans="1:11" ht="16.8" thickTop="1" thickBot="1" x14ac:dyDescent="0.35">
      <c r="A1" s="1" t="s">
        <v>0</v>
      </c>
      <c r="B1" s="1" t="s">
        <v>1</v>
      </c>
      <c r="C1" s="1" t="s">
        <v>2</v>
      </c>
      <c r="E1" t="s">
        <v>3</v>
      </c>
      <c r="G1" s="2" t="s">
        <v>4</v>
      </c>
    </row>
    <row r="2" spans="1:11" ht="16.8" thickTop="1" thickBot="1" x14ac:dyDescent="0.35">
      <c r="A2" s="3">
        <v>1</v>
      </c>
      <c r="B2" s="3" t="s">
        <v>5</v>
      </c>
      <c r="C2" s="3"/>
    </row>
    <row r="3" spans="1:11" ht="16.8" thickTop="1" thickBot="1" x14ac:dyDescent="0.35">
      <c r="A3" s="3">
        <v>2</v>
      </c>
      <c r="B3" s="3">
        <v>10</v>
      </c>
      <c r="C3" s="3"/>
      <c r="E3" s="4" t="s">
        <v>6</v>
      </c>
      <c r="F3" s="5"/>
    </row>
    <row r="4" spans="1:11" ht="16.8" thickTop="1" thickBot="1" x14ac:dyDescent="0.35">
      <c r="A4" s="3">
        <v>3</v>
      </c>
      <c r="B4" s="3">
        <v>28</v>
      </c>
      <c r="C4" s="3">
        <f>B4-B3</f>
        <v>18</v>
      </c>
      <c r="E4" s="4" t="s">
        <v>7</v>
      </c>
      <c r="F4" s="5"/>
    </row>
    <row r="5" spans="1:11" ht="16.8" thickTop="1" thickBot="1" x14ac:dyDescent="0.35">
      <c r="A5" s="3">
        <v>4</v>
      </c>
      <c r="B5" s="3">
        <v>51</v>
      </c>
      <c r="C5" s="3">
        <f t="shared" ref="C5:C62" si="0">B5-B4</f>
        <v>23</v>
      </c>
      <c r="E5" s="4" t="s">
        <v>8</v>
      </c>
      <c r="F5" s="5"/>
    </row>
    <row r="6" spans="1:11" ht="16.8" thickTop="1" thickBot="1" x14ac:dyDescent="0.35">
      <c r="A6" s="3">
        <v>5</v>
      </c>
      <c r="B6" s="3">
        <v>80</v>
      </c>
      <c r="C6" s="3">
        <f t="shared" si="0"/>
        <v>29</v>
      </c>
      <c r="E6" s="6" t="str">
        <f>IF(OR(F3=0,F4=0),"Please Enter Values First",CONCATENATE("The amount of Exp you need to Level from  ",F3," to ",F4," is :"))</f>
        <v>Please Enter Values First</v>
      </c>
      <c r="F6" s="7">
        <f>IF(F3=F4,0,SUM(INDEX(B:B,F3+2):INDEX(B:B,F4+1)))-F5</f>
        <v>0</v>
      </c>
    </row>
    <row r="7" spans="1:11" ht="16.8" thickTop="1" thickBot="1" x14ac:dyDescent="0.35">
      <c r="A7" s="3">
        <v>6</v>
      </c>
      <c r="B7" s="3">
        <v>111</v>
      </c>
      <c r="C7" s="3">
        <f t="shared" si="0"/>
        <v>31</v>
      </c>
    </row>
    <row r="8" spans="1:11" ht="16.8" thickTop="1" thickBot="1" x14ac:dyDescent="0.35">
      <c r="A8" s="3">
        <v>7</v>
      </c>
      <c r="B8" s="3">
        <v>146</v>
      </c>
      <c r="C8" s="3">
        <f t="shared" si="0"/>
        <v>35</v>
      </c>
      <c r="F8" s="1" t="s">
        <v>9</v>
      </c>
      <c r="G8" s="1" t="s">
        <v>10</v>
      </c>
      <c r="H8" s="1" t="s">
        <v>11</v>
      </c>
    </row>
    <row r="9" spans="1:11" ht="16.8" thickTop="1" thickBot="1" x14ac:dyDescent="0.35">
      <c r="A9" s="3">
        <v>8</v>
      </c>
      <c r="B9" s="3">
        <v>185</v>
      </c>
      <c r="C9" s="3">
        <f t="shared" si="0"/>
        <v>39</v>
      </c>
      <c r="E9" s="8" t="s">
        <v>12</v>
      </c>
      <c r="F9" s="9">
        <f>ROUNDUP(F6/100,0)</f>
        <v>0</v>
      </c>
      <c r="G9" s="9">
        <f>ROUNDUP(F6/200,0)</f>
        <v>0</v>
      </c>
      <c r="H9" s="9">
        <f>ROUNDUP(F6/300,0)</f>
        <v>0</v>
      </c>
    </row>
    <row r="10" spans="1:11" ht="16.8" thickTop="1" thickBot="1" x14ac:dyDescent="0.35">
      <c r="A10" s="3">
        <v>9</v>
      </c>
      <c r="B10" s="3">
        <v>226</v>
      </c>
      <c r="C10" s="3">
        <f t="shared" si="0"/>
        <v>41</v>
      </c>
      <c r="E10" s="8" t="s">
        <v>13</v>
      </c>
      <c r="F10" s="9">
        <f>ROUNDUP(F6/300,0)</f>
        <v>0</v>
      </c>
      <c r="G10" s="9">
        <f>ROUNDUP(F6/600,0)</f>
        <v>0</v>
      </c>
      <c r="H10" s="9">
        <f>ROUNDUP(F6/900,0)</f>
        <v>0</v>
      </c>
    </row>
    <row r="11" spans="1:11" ht="16.8" thickTop="1" thickBot="1" x14ac:dyDescent="0.35">
      <c r="A11" s="3">
        <v>10</v>
      </c>
      <c r="B11" s="3">
        <v>270</v>
      </c>
      <c r="C11" s="3">
        <f t="shared" si="0"/>
        <v>44</v>
      </c>
      <c r="E11" t="s">
        <v>14</v>
      </c>
    </row>
    <row r="12" spans="1:11" ht="16.8" thickTop="1" thickBot="1" x14ac:dyDescent="0.35">
      <c r="A12" s="3">
        <v>11</v>
      </c>
      <c r="B12" s="3">
        <v>316</v>
      </c>
      <c r="C12" s="3">
        <f t="shared" si="0"/>
        <v>46</v>
      </c>
    </row>
    <row r="13" spans="1:11" ht="16.8" thickTop="1" thickBot="1" x14ac:dyDescent="0.35">
      <c r="A13" s="3">
        <v>12</v>
      </c>
      <c r="B13" s="3">
        <v>364</v>
      </c>
      <c r="C13" s="3">
        <f t="shared" si="0"/>
        <v>48</v>
      </c>
      <c r="E13" s="4" t="s">
        <v>15</v>
      </c>
      <c r="F13" s="5"/>
    </row>
    <row r="14" spans="1:11" ht="16.8" thickTop="1" thickBot="1" x14ac:dyDescent="0.35">
      <c r="A14" s="3">
        <v>13</v>
      </c>
      <c r="B14" s="3">
        <v>415</v>
      </c>
      <c r="C14" s="3">
        <f t="shared" si="0"/>
        <v>51</v>
      </c>
      <c r="E14" s="4" t="s">
        <v>16</v>
      </c>
      <c r="F14" s="5"/>
      <c r="H14" s="2" t="s">
        <v>4</v>
      </c>
    </row>
    <row r="15" spans="1:11" ht="16.8" thickTop="1" thickBot="1" x14ac:dyDescent="0.35">
      <c r="A15" s="3">
        <v>14</v>
      </c>
      <c r="B15" s="3">
        <v>468</v>
      </c>
      <c r="C15" s="3">
        <f t="shared" si="0"/>
        <v>53</v>
      </c>
      <c r="E15" s="4" t="s">
        <v>17</v>
      </c>
      <c r="F15" s="5"/>
      <c r="H15" s="21" t="s">
        <v>36</v>
      </c>
      <c r="I15" s="21"/>
      <c r="J15" s="21"/>
      <c r="K15" s="21"/>
    </row>
    <row r="16" spans="1:11" ht="16.8" thickTop="1" thickBot="1" x14ac:dyDescent="0.35">
      <c r="A16" s="3">
        <v>15</v>
      </c>
      <c r="B16" s="3">
        <v>523</v>
      </c>
      <c r="C16" s="3">
        <f t="shared" si="0"/>
        <v>55</v>
      </c>
      <c r="E16" s="4" t="s">
        <v>18</v>
      </c>
      <c r="F16" s="5"/>
      <c r="H16" s="16"/>
      <c r="I16" s="1" t="s">
        <v>38</v>
      </c>
      <c r="J16" s="22" t="s">
        <v>37</v>
      </c>
      <c r="K16" s="22"/>
    </row>
    <row r="17" spans="1:13" ht="16.8" thickTop="1" thickBot="1" x14ac:dyDescent="0.35">
      <c r="A17" s="3">
        <v>16</v>
      </c>
      <c r="B17" s="3">
        <v>580</v>
      </c>
      <c r="C17" s="3">
        <f t="shared" si="0"/>
        <v>57</v>
      </c>
      <c r="E17" s="4" t="s">
        <v>19</v>
      </c>
      <c r="F17" s="5"/>
      <c r="H17" s="1" t="s">
        <v>1</v>
      </c>
      <c r="I17" s="5">
        <v>10000</v>
      </c>
      <c r="J17" s="19">
        <f>F6</f>
        <v>0</v>
      </c>
      <c r="K17" s="20"/>
    </row>
    <row r="18" spans="1:13" ht="16.8" thickTop="1" thickBot="1" x14ac:dyDescent="0.35">
      <c r="A18" s="3">
        <v>17</v>
      </c>
      <c r="B18" s="3">
        <v>640</v>
      </c>
      <c r="C18" s="3">
        <f t="shared" si="0"/>
        <v>60</v>
      </c>
      <c r="E18" s="4" t="s">
        <v>20</v>
      </c>
      <c r="F18" s="5"/>
      <c r="H18" s="1" t="s">
        <v>35</v>
      </c>
      <c r="I18" s="5">
        <v>5000</v>
      </c>
      <c r="J18" s="19">
        <f>IF(I18="","",ROUNDUP(J17*I18/I17,0))</f>
        <v>0</v>
      </c>
      <c r="K18" s="20"/>
    </row>
    <row r="19" spans="1:13" ht="16.8" thickTop="1" thickBot="1" x14ac:dyDescent="0.35">
      <c r="A19" s="3">
        <v>18</v>
      </c>
      <c r="B19" s="3">
        <v>700</v>
      </c>
      <c r="C19" s="3">
        <f t="shared" si="0"/>
        <v>60</v>
      </c>
      <c r="E19" s="6" t="s">
        <v>21</v>
      </c>
      <c r="F19" s="7">
        <f>ROUNDUP((F6-((F16*300)+(F17*600)+(F18*900)+(F13*100)+(F14*200)+(F15*300)))/100,0)</f>
        <v>0</v>
      </c>
      <c r="H19" t="s">
        <v>39</v>
      </c>
    </row>
    <row r="20" spans="1:13" ht="16.8" thickTop="1" thickBot="1" x14ac:dyDescent="0.35">
      <c r="A20" s="3">
        <v>19</v>
      </c>
      <c r="B20" s="3">
        <v>763</v>
      </c>
      <c r="C20" s="3">
        <f t="shared" si="0"/>
        <v>63</v>
      </c>
      <c r="E20" s="6" t="s">
        <v>22</v>
      </c>
      <c r="F20" s="7">
        <f>ROUNDUP((F6-((F16*300)+(F17*600)+(F18*900)+(F13*100)+(F14*200)+(F15*300)))/200,0)</f>
        <v>0</v>
      </c>
    </row>
    <row r="21" spans="1:13" ht="16.8" thickTop="1" thickBot="1" x14ac:dyDescent="0.35">
      <c r="A21" s="3">
        <v>20</v>
      </c>
      <c r="B21" s="3">
        <v>828</v>
      </c>
      <c r="C21" s="3">
        <f t="shared" si="0"/>
        <v>65</v>
      </c>
      <c r="E21" s="6" t="s">
        <v>23</v>
      </c>
      <c r="F21" s="7">
        <f>ROUNDUP((F6-((F16*300)+(F17*600)+(F18*900)+(F13*100)+(F14*200)+(F15*300)))/300,0)</f>
        <v>0</v>
      </c>
      <c r="H21" t="s">
        <v>40</v>
      </c>
    </row>
    <row r="22" spans="1:13" ht="16.8" thickTop="1" thickBot="1" x14ac:dyDescent="0.35">
      <c r="A22" s="3">
        <v>21</v>
      </c>
      <c r="B22" s="3">
        <v>894</v>
      </c>
      <c r="C22" s="3">
        <f t="shared" si="0"/>
        <v>66</v>
      </c>
      <c r="E22" s="6" t="s">
        <v>24</v>
      </c>
      <c r="F22" s="7">
        <f>ROUNDUP((F6-((F16*300)+(F17*600)+(F18*900)+(F13*100)+(F14*200)+(F15*300)))/300,0)</f>
        <v>0</v>
      </c>
      <c r="H22" s="16"/>
      <c r="I22" s="1" t="s">
        <v>38</v>
      </c>
      <c r="J22" s="22" t="s">
        <v>37</v>
      </c>
      <c r="K22" s="22"/>
    </row>
    <row r="23" spans="1:13" ht="16.8" thickTop="1" thickBot="1" x14ac:dyDescent="0.35">
      <c r="A23" s="3">
        <v>22</v>
      </c>
      <c r="B23" s="3">
        <v>962</v>
      </c>
      <c r="C23" s="3">
        <f t="shared" si="0"/>
        <v>68</v>
      </c>
      <c r="E23" s="6" t="s">
        <v>25</v>
      </c>
      <c r="F23" s="7">
        <f>ROUNDUP((F6-((F16*300)+(F17*600)+(F18*900)+(F13*100)+(F14*200)+(F15*300)))/600,0)</f>
        <v>0</v>
      </c>
      <c r="H23" s="1" t="s">
        <v>1</v>
      </c>
      <c r="I23" s="5">
        <v>10000</v>
      </c>
      <c r="J23" s="17"/>
      <c r="K23" s="18"/>
      <c r="M23" s="10"/>
    </row>
    <row r="24" spans="1:13" ht="16.8" thickTop="1" thickBot="1" x14ac:dyDescent="0.35">
      <c r="A24" s="3">
        <v>23</v>
      </c>
      <c r="B24" s="3">
        <v>1031</v>
      </c>
      <c r="C24" s="3">
        <f t="shared" si="0"/>
        <v>69</v>
      </c>
      <c r="E24" s="6" t="s">
        <v>26</v>
      </c>
      <c r="F24" s="7">
        <f>ROUNDUP((F6-((F16*300)+(F17*600)+(F18*900)+(F13*100)+(F14*200)+(F15*300)))/900,0)</f>
        <v>0</v>
      </c>
      <c r="H24" s="1" t="s">
        <v>35</v>
      </c>
      <c r="I24" s="5">
        <v>5000</v>
      </c>
      <c r="J24" s="19">
        <f>I24*J23/I23</f>
        <v>0</v>
      </c>
      <c r="K24" s="20"/>
    </row>
    <row r="25" spans="1:13" ht="16.8" thickTop="1" thickBot="1" x14ac:dyDescent="0.35">
      <c r="A25" s="3">
        <v>24</v>
      </c>
      <c r="B25" s="3">
        <v>1103</v>
      </c>
      <c r="C25" s="3">
        <f t="shared" si="0"/>
        <v>72</v>
      </c>
      <c r="E25" t="s">
        <v>14</v>
      </c>
    </row>
    <row r="26" spans="1:13" ht="16.8" thickTop="1" thickBot="1" x14ac:dyDescent="0.35">
      <c r="A26" s="3">
        <v>25</v>
      </c>
      <c r="B26" s="3">
        <v>1175</v>
      </c>
      <c r="C26" s="3">
        <f t="shared" si="0"/>
        <v>72</v>
      </c>
    </row>
    <row r="27" spans="1:13" ht="16.8" thickTop="1" thickBot="1" x14ac:dyDescent="0.35">
      <c r="A27" s="3">
        <v>26</v>
      </c>
      <c r="B27" s="3">
        <v>1250</v>
      </c>
      <c r="C27" s="3">
        <f t="shared" si="0"/>
        <v>75</v>
      </c>
      <c r="I27" s="10"/>
      <c r="M27" s="10"/>
    </row>
    <row r="28" spans="1:13" ht="16.8" thickTop="1" thickBot="1" x14ac:dyDescent="0.35">
      <c r="A28" s="3">
        <v>27</v>
      </c>
      <c r="B28" s="3">
        <v>1325</v>
      </c>
      <c r="C28" s="3">
        <f t="shared" si="0"/>
        <v>75</v>
      </c>
    </row>
    <row r="29" spans="1:13" ht="16.8" thickTop="1" thickBot="1" x14ac:dyDescent="0.35">
      <c r="A29" s="3">
        <v>28</v>
      </c>
      <c r="B29" s="3">
        <v>1402</v>
      </c>
      <c r="C29" s="3">
        <f t="shared" si="0"/>
        <v>77</v>
      </c>
    </row>
    <row r="30" spans="1:13" ht="16.8" thickTop="1" thickBot="1" x14ac:dyDescent="0.35">
      <c r="A30" s="3">
        <v>29</v>
      </c>
      <c r="B30" s="3">
        <v>1481</v>
      </c>
      <c r="C30" s="3">
        <f t="shared" si="0"/>
        <v>79</v>
      </c>
    </row>
    <row r="31" spans="1:13" ht="16.8" thickTop="1" thickBot="1" x14ac:dyDescent="0.35">
      <c r="A31" s="3">
        <v>30</v>
      </c>
      <c r="B31" s="3">
        <v>1561</v>
      </c>
      <c r="C31" s="3">
        <f t="shared" si="0"/>
        <v>80</v>
      </c>
    </row>
    <row r="32" spans="1:13" ht="16.8" thickTop="1" thickBot="1" x14ac:dyDescent="0.35">
      <c r="A32" s="3">
        <v>31</v>
      </c>
      <c r="B32" s="3">
        <v>1643</v>
      </c>
      <c r="C32" s="3">
        <f t="shared" si="0"/>
        <v>82</v>
      </c>
    </row>
    <row r="33" spans="1:3" ht="16.8" thickTop="1" thickBot="1" x14ac:dyDescent="0.35">
      <c r="A33" s="3">
        <v>32</v>
      </c>
      <c r="B33" s="3">
        <v>1726</v>
      </c>
      <c r="C33" s="3">
        <f t="shared" si="0"/>
        <v>83</v>
      </c>
    </row>
    <row r="34" spans="1:3" ht="16.8" thickTop="1" thickBot="1" x14ac:dyDescent="0.35">
      <c r="A34" s="3">
        <v>33</v>
      </c>
      <c r="B34" s="3">
        <v>1810</v>
      </c>
      <c r="C34" s="3">
        <f t="shared" si="0"/>
        <v>84</v>
      </c>
    </row>
    <row r="35" spans="1:3" ht="16.8" thickTop="1" thickBot="1" x14ac:dyDescent="0.35">
      <c r="A35" s="3">
        <v>34</v>
      </c>
      <c r="B35" s="3">
        <v>1895</v>
      </c>
      <c r="C35" s="3">
        <f t="shared" si="0"/>
        <v>85</v>
      </c>
    </row>
    <row r="36" spans="1:3" ht="16.8" thickTop="1" thickBot="1" x14ac:dyDescent="0.35">
      <c r="A36" s="3">
        <v>35</v>
      </c>
      <c r="B36" s="3">
        <v>1982</v>
      </c>
      <c r="C36" s="3">
        <f t="shared" si="0"/>
        <v>87</v>
      </c>
    </row>
    <row r="37" spans="1:3" ht="16.8" thickTop="1" thickBot="1" x14ac:dyDescent="0.35">
      <c r="A37" s="3">
        <v>36</v>
      </c>
      <c r="B37" s="3">
        <v>2070</v>
      </c>
      <c r="C37" s="3">
        <f t="shared" si="0"/>
        <v>88</v>
      </c>
    </row>
    <row r="38" spans="1:3" ht="16.8" thickTop="1" thickBot="1" x14ac:dyDescent="0.35">
      <c r="A38" s="3">
        <v>37</v>
      </c>
      <c r="B38" s="3">
        <v>2160</v>
      </c>
      <c r="C38" s="3">
        <f t="shared" si="0"/>
        <v>90</v>
      </c>
    </row>
    <row r="39" spans="1:3" ht="16.8" thickTop="1" thickBot="1" x14ac:dyDescent="0.35">
      <c r="A39" s="3">
        <v>38</v>
      </c>
      <c r="B39" s="3">
        <v>2250</v>
      </c>
      <c r="C39" s="3">
        <f t="shared" si="0"/>
        <v>90</v>
      </c>
    </row>
    <row r="40" spans="1:3" ht="16.8" thickTop="1" thickBot="1" x14ac:dyDescent="0.35">
      <c r="A40" s="3">
        <v>39</v>
      </c>
      <c r="B40" s="3">
        <v>2342</v>
      </c>
      <c r="C40" s="3">
        <f t="shared" si="0"/>
        <v>92</v>
      </c>
    </row>
    <row r="41" spans="1:3" ht="16.8" thickTop="1" thickBot="1" x14ac:dyDescent="0.35">
      <c r="A41" s="3">
        <v>40</v>
      </c>
      <c r="B41" s="3">
        <v>2435</v>
      </c>
      <c r="C41" s="3">
        <f t="shared" si="0"/>
        <v>93</v>
      </c>
    </row>
    <row r="42" spans="1:3" ht="16.8" thickTop="1" thickBot="1" x14ac:dyDescent="0.35">
      <c r="A42" s="3">
        <v>41</v>
      </c>
      <c r="B42" s="3">
        <v>2529</v>
      </c>
      <c r="C42" s="3">
        <f t="shared" si="0"/>
        <v>94</v>
      </c>
    </row>
    <row r="43" spans="1:3" ht="16.8" thickTop="1" thickBot="1" x14ac:dyDescent="0.35">
      <c r="A43" s="3">
        <v>42</v>
      </c>
      <c r="B43" s="3">
        <v>2625</v>
      </c>
      <c r="C43" s="3">
        <f t="shared" si="0"/>
        <v>96</v>
      </c>
    </row>
    <row r="44" spans="1:3" ht="16.8" thickTop="1" thickBot="1" x14ac:dyDescent="0.35">
      <c r="A44" s="3">
        <v>43</v>
      </c>
      <c r="B44" s="3">
        <v>2721</v>
      </c>
      <c r="C44" s="3">
        <f t="shared" si="0"/>
        <v>96</v>
      </c>
    </row>
    <row r="45" spans="1:3" ht="16.8" thickTop="1" thickBot="1" x14ac:dyDescent="0.35">
      <c r="A45" s="3">
        <v>44</v>
      </c>
      <c r="B45" s="3">
        <v>2819</v>
      </c>
      <c r="C45" s="3">
        <f t="shared" si="0"/>
        <v>98</v>
      </c>
    </row>
    <row r="46" spans="1:3" ht="16.8" thickTop="1" thickBot="1" x14ac:dyDescent="0.35">
      <c r="A46" s="3">
        <v>45</v>
      </c>
      <c r="B46" s="3">
        <v>2918</v>
      </c>
      <c r="C46" s="3">
        <f t="shared" si="0"/>
        <v>99</v>
      </c>
    </row>
    <row r="47" spans="1:3" ht="16.8" thickTop="1" thickBot="1" x14ac:dyDescent="0.35">
      <c r="A47" s="3">
        <v>46</v>
      </c>
      <c r="B47" s="3">
        <v>3018</v>
      </c>
      <c r="C47" s="3">
        <f t="shared" si="0"/>
        <v>100</v>
      </c>
    </row>
    <row r="48" spans="1:3" ht="16.8" thickTop="1" thickBot="1" x14ac:dyDescent="0.35">
      <c r="A48" s="3">
        <v>47</v>
      </c>
      <c r="B48" s="3">
        <v>3119</v>
      </c>
      <c r="C48" s="3">
        <f t="shared" si="0"/>
        <v>101</v>
      </c>
    </row>
    <row r="49" spans="1:3" ht="16.8" thickTop="1" thickBot="1" x14ac:dyDescent="0.35">
      <c r="A49" s="3">
        <v>48</v>
      </c>
      <c r="B49" s="3">
        <v>3222</v>
      </c>
      <c r="C49" s="3">
        <f t="shared" si="0"/>
        <v>103</v>
      </c>
    </row>
    <row r="50" spans="1:3" ht="16.8" thickTop="1" thickBot="1" x14ac:dyDescent="0.35">
      <c r="A50" s="3">
        <v>49</v>
      </c>
      <c r="B50" s="3">
        <v>3325</v>
      </c>
      <c r="C50" s="3">
        <f t="shared" si="0"/>
        <v>103</v>
      </c>
    </row>
    <row r="51" spans="1:3" ht="16.8" thickTop="1" thickBot="1" x14ac:dyDescent="0.35">
      <c r="A51" s="3">
        <v>50</v>
      </c>
      <c r="B51" s="3">
        <v>3430</v>
      </c>
      <c r="C51" s="3">
        <f t="shared" si="0"/>
        <v>105</v>
      </c>
    </row>
    <row r="52" spans="1:3" ht="16.8" thickTop="1" thickBot="1" x14ac:dyDescent="0.35">
      <c r="A52" s="3">
        <v>51</v>
      </c>
      <c r="B52" s="3">
        <v>3535</v>
      </c>
      <c r="C52" s="3">
        <f t="shared" si="0"/>
        <v>105</v>
      </c>
    </row>
    <row r="53" spans="1:3" ht="16.8" thickTop="1" thickBot="1" x14ac:dyDescent="0.35">
      <c r="A53" s="3">
        <v>52</v>
      </c>
      <c r="B53" s="3">
        <v>3642</v>
      </c>
      <c r="C53" s="3">
        <f t="shared" si="0"/>
        <v>107</v>
      </c>
    </row>
    <row r="54" spans="1:3" ht="16.8" thickTop="1" thickBot="1" x14ac:dyDescent="0.35">
      <c r="A54" s="3">
        <v>53</v>
      </c>
      <c r="B54" s="3">
        <v>3749</v>
      </c>
      <c r="C54" s="3">
        <f t="shared" si="0"/>
        <v>107</v>
      </c>
    </row>
    <row r="55" spans="1:3" ht="16.8" thickTop="1" thickBot="1" x14ac:dyDescent="0.35">
      <c r="A55" s="3">
        <v>54</v>
      </c>
      <c r="B55" s="3">
        <v>3858</v>
      </c>
      <c r="C55" s="3">
        <f t="shared" si="0"/>
        <v>109</v>
      </c>
    </row>
    <row r="56" spans="1:3" ht="16.8" thickTop="1" thickBot="1" x14ac:dyDescent="0.35">
      <c r="A56" s="3">
        <v>55</v>
      </c>
      <c r="B56" s="3">
        <v>3968</v>
      </c>
      <c r="C56" s="3">
        <f t="shared" si="0"/>
        <v>110</v>
      </c>
    </row>
    <row r="57" spans="1:3" ht="16.8" thickTop="1" thickBot="1" x14ac:dyDescent="0.35">
      <c r="A57" s="3">
        <v>56</v>
      </c>
      <c r="B57" s="3">
        <v>4078</v>
      </c>
      <c r="C57" s="3">
        <f t="shared" si="0"/>
        <v>110</v>
      </c>
    </row>
    <row r="58" spans="1:3" ht="16.8" thickTop="1" thickBot="1" x14ac:dyDescent="0.35">
      <c r="A58" s="3">
        <v>57</v>
      </c>
      <c r="B58" s="3">
        <v>4190</v>
      </c>
      <c r="C58" s="3">
        <f t="shared" si="0"/>
        <v>112</v>
      </c>
    </row>
    <row r="59" spans="1:3" ht="16.8" thickTop="1" thickBot="1" x14ac:dyDescent="0.35">
      <c r="A59" s="3">
        <v>58</v>
      </c>
      <c r="B59" s="3">
        <v>4303</v>
      </c>
      <c r="C59" s="3">
        <f t="shared" si="0"/>
        <v>113</v>
      </c>
    </row>
    <row r="60" spans="1:3" ht="16.8" thickTop="1" thickBot="1" x14ac:dyDescent="0.35">
      <c r="A60" s="3">
        <v>59</v>
      </c>
      <c r="B60" s="3">
        <v>4417</v>
      </c>
      <c r="C60" s="3">
        <f t="shared" si="0"/>
        <v>114</v>
      </c>
    </row>
    <row r="61" spans="1:3" ht="16.8" thickTop="1" thickBot="1" x14ac:dyDescent="0.35">
      <c r="A61" s="3">
        <v>60</v>
      </c>
      <c r="B61" s="3">
        <v>4513</v>
      </c>
      <c r="C61" s="3">
        <f t="shared" si="0"/>
        <v>96</v>
      </c>
    </row>
    <row r="62" spans="1:3" ht="16.8" thickTop="1" thickBot="1" x14ac:dyDescent="0.35">
      <c r="A62" s="3"/>
      <c r="B62" s="3">
        <v>4647</v>
      </c>
      <c r="C62" s="3">
        <f t="shared" si="0"/>
        <v>134</v>
      </c>
    </row>
    <row r="63" spans="1:3" ht="16.2" thickTop="1" x14ac:dyDescent="0.3"/>
  </sheetData>
  <mergeCells count="7">
    <mergeCell ref="J23:K23"/>
    <mergeCell ref="J24:K24"/>
    <mergeCell ref="H15:K15"/>
    <mergeCell ref="J16:K16"/>
    <mergeCell ref="J17:K17"/>
    <mergeCell ref="J18:K18"/>
    <mergeCell ref="J22:K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9104D-58DA-40B7-8696-5730FAA6389E}">
  <dimension ref="A1:L63"/>
  <sheetViews>
    <sheetView tabSelected="1" workbookViewId="0">
      <selection activeCell="F3" sqref="F3"/>
    </sheetView>
  </sheetViews>
  <sheetFormatPr baseColWidth="10" defaultRowHeight="15.6" x14ac:dyDescent="0.3"/>
  <cols>
    <col min="1" max="1" width="13.6640625" style="11" bestFit="1" customWidth="1"/>
    <col min="2" max="2" width="11.5546875" style="11"/>
    <col min="3" max="3" width="16.88671875" style="11" bestFit="1" customWidth="1"/>
    <col min="4" max="4" width="3.109375" customWidth="1"/>
    <col min="5" max="5" width="59" customWidth="1"/>
    <col min="6" max="6" width="14.109375" customWidth="1"/>
    <col min="7" max="7" width="13.88671875" customWidth="1"/>
    <col min="8" max="8" width="15.44140625" customWidth="1"/>
    <col min="9" max="9" width="14.6640625" customWidth="1"/>
    <col min="10" max="10" width="14.21875" customWidth="1"/>
    <col min="11" max="11" width="14.109375" customWidth="1"/>
    <col min="12" max="12" width="14.21875" customWidth="1"/>
  </cols>
  <sheetData>
    <row r="1" spans="1:12" ht="16.8" thickTop="1" thickBot="1" x14ac:dyDescent="0.35">
      <c r="A1" s="1" t="s">
        <v>0</v>
      </c>
      <c r="B1" s="1" t="s">
        <v>1</v>
      </c>
      <c r="C1" s="1" t="s">
        <v>2</v>
      </c>
      <c r="E1" t="s">
        <v>3</v>
      </c>
      <c r="G1" s="2" t="s">
        <v>4</v>
      </c>
    </row>
    <row r="2" spans="1:12" ht="16.8" thickTop="1" thickBot="1" x14ac:dyDescent="0.35">
      <c r="A2" s="3">
        <v>1</v>
      </c>
      <c r="B2" s="3" t="s">
        <v>5</v>
      </c>
      <c r="C2" s="3"/>
      <c r="F2" s="12" t="s">
        <v>27</v>
      </c>
      <c r="G2" s="12" t="s">
        <v>28</v>
      </c>
      <c r="H2" s="12" t="s">
        <v>29</v>
      </c>
      <c r="I2" s="12" t="s">
        <v>30</v>
      </c>
      <c r="J2" s="12" t="s">
        <v>31</v>
      </c>
      <c r="K2" s="12" t="s">
        <v>32</v>
      </c>
      <c r="L2" s="12" t="s">
        <v>33</v>
      </c>
    </row>
    <row r="3" spans="1:12" ht="16.8" thickTop="1" thickBot="1" x14ac:dyDescent="0.35">
      <c r="A3" s="3">
        <v>2</v>
      </c>
      <c r="B3" s="3">
        <v>10</v>
      </c>
      <c r="C3" s="3"/>
      <c r="E3" s="13" t="s">
        <v>6</v>
      </c>
      <c r="F3" s="5"/>
      <c r="G3" s="5"/>
      <c r="H3" s="5"/>
      <c r="I3" s="5"/>
      <c r="J3" s="5"/>
      <c r="K3" s="5"/>
      <c r="L3" s="5"/>
    </row>
    <row r="4" spans="1:12" ht="16.8" thickTop="1" thickBot="1" x14ac:dyDescent="0.35">
      <c r="A4" s="3">
        <v>3</v>
      </c>
      <c r="B4" s="3">
        <v>28</v>
      </c>
      <c r="C4" s="3">
        <f>B4-B3</f>
        <v>18</v>
      </c>
      <c r="E4" s="13" t="s">
        <v>7</v>
      </c>
      <c r="F4" s="5"/>
      <c r="G4" s="5"/>
      <c r="H4" s="5"/>
      <c r="I4" s="5"/>
      <c r="J4" s="5"/>
      <c r="K4" s="5"/>
      <c r="L4" s="5"/>
    </row>
    <row r="5" spans="1:12" ht="16.8" thickTop="1" thickBot="1" x14ac:dyDescent="0.35">
      <c r="A5" s="3">
        <v>4</v>
      </c>
      <c r="B5" s="3">
        <v>51</v>
      </c>
      <c r="C5" s="3">
        <f t="shared" ref="C5:C62" si="0">B5-B4</f>
        <v>23</v>
      </c>
      <c r="E5" s="13" t="s">
        <v>8</v>
      </c>
      <c r="F5" s="5"/>
      <c r="G5" s="5"/>
      <c r="H5" s="5"/>
      <c r="I5" s="5"/>
      <c r="J5" s="5"/>
      <c r="K5" s="5"/>
      <c r="L5" s="5"/>
    </row>
    <row r="6" spans="1:12" ht="16.8" thickTop="1" thickBot="1" x14ac:dyDescent="0.35">
      <c r="A6" s="3">
        <v>5</v>
      </c>
      <c r="B6" s="3">
        <v>80</v>
      </c>
      <c r="C6" s="3">
        <f t="shared" si="0"/>
        <v>29</v>
      </c>
      <c r="E6" s="14" t="str">
        <f>IF(OR(F3=0,F4=0),"Please Enter Values First",CONCATENATE("The amount of Exp you need to Level from  ",F3," to ",F4," is :"))</f>
        <v>Please Enter Values First</v>
      </c>
      <c r="F6" s="7">
        <f>IF(F3=F4,0,SUM(INDEX(B:B,F3+2):INDEX(B:B,F4+1)))-F5</f>
        <v>0</v>
      </c>
      <c r="G6" s="7">
        <f>IF(G3=G4,0,SUM(INDEX(B:B,G3+2):INDEX(B:B,G4+1)))-G5</f>
        <v>0</v>
      </c>
      <c r="H6" s="7">
        <f>IF(H3=H4,0,SUM(INDEX(B:B,H3+2):INDEX(B:B,H4+1)))-H5</f>
        <v>0</v>
      </c>
      <c r="I6" s="7">
        <f>IF(I3=I4,0,SUM(INDEX(B:B,I3+2):INDEX(B:B,I4+1)))-I5</f>
        <v>0</v>
      </c>
      <c r="J6" s="7">
        <f>IF(J3=J4,0,SUM(INDEX(B:B,J3+2):INDEX(B:B,J4+1)))-J5</f>
        <v>0</v>
      </c>
      <c r="K6" s="7">
        <f>IF(K3=K4,0,SUM(INDEX(B:B,K3+2):INDEX(B:B,K4+1)))-K5</f>
        <v>0</v>
      </c>
      <c r="L6" s="7">
        <f>IF(L3=L4,0,SUM(INDEX(B:B,L3+2):INDEX(B:B,L4+1)))-L5</f>
        <v>0</v>
      </c>
    </row>
    <row r="7" spans="1:12" ht="16.8" thickTop="1" thickBot="1" x14ac:dyDescent="0.35">
      <c r="A7" s="3">
        <v>6</v>
      </c>
      <c r="B7" s="3">
        <v>111</v>
      </c>
      <c r="C7" s="3">
        <f t="shared" si="0"/>
        <v>31</v>
      </c>
      <c r="E7" s="14" t="s">
        <v>34</v>
      </c>
      <c r="F7" s="15">
        <f>SUM(F6:L6)</f>
        <v>0</v>
      </c>
    </row>
    <row r="8" spans="1:12" ht="16.8" thickTop="1" thickBot="1" x14ac:dyDescent="0.35">
      <c r="A8" s="3">
        <v>7</v>
      </c>
      <c r="B8" s="3">
        <v>146</v>
      </c>
      <c r="C8" s="3">
        <f t="shared" si="0"/>
        <v>35</v>
      </c>
    </row>
    <row r="9" spans="1:12" ht="16.8" thickTop="1" thickBot="1" x14ac:dyDescent="0.35">
      <c r="A9" s="3">
        <v>8</v>
      </c>
      <c r="B9" s="3">
        <v>185</v>
      </c>
      <c r="C9" s="3">
        <f t="shared" si="0"/>
        <v>39</v>
      </c>
      <c r="F9" s="1" t="s">
        <v>9</v>
      </c>
      <c r="G9" s="1" t="s">
        <v>10</v>
      </c>
      <c r="H9" s="1" t="s">
        <v>11</v>
      </c>
    </row>
    <row r="10" spans="1:12" ht="16.8" thickTop="1" thickBot="1" x14ac:dyDescent="0.35">
      <c r="A10" s="3">
        <v>9</v>
      </c>
      <c r="B10" s="3">
        <v>226</v>
      </c>
      <c r="C10" s="3">
        <f t="shared" si="0"/>
        <v>41</v>
      </c>
      <c r="E10" s="8" t="s">
        <v>12</v>
      </c>
      <c r="F10" s="9">
        <f>ROUNDUP(F7/100,0)</f>
        <v>0</v>
      </c>
      <c r="G10" s="9">
        <f>ROUNDUP(F7/200,0)</f>
        <v>0</v>
      </c>
      <c r="H10" s="9">
        <f>ROUNDUP(F7/300,0)</f>
        <v>0</v>
      </c>
    </row>
    <row r="11" spans="1:12" ht="16.8" thickTop="1" thickBot="1" x14ac:dyDescent="0.35">
      <c r="A11" s="3">
        <v>10</v>
      </c>
      <c r="B11" s="3">
        <v>270</v>
      </c>
      <c r="C11" s="3">
        <f t="shared" si="0"/>
        <v>44</v>
      </c>
      <c r="E11" s="8" t="s">
        <v>13</v>
      </c>
      <c r="F11" s="9">
        <f>ROUNDUP(F7/300,0)</f>
        <v>0</v>
      </c>
      <c r="G11" s="9">
        <f>ROUNDUP(F7/600,0)</f>
        <v>0</v>
      </c>
      <c r="H11" s="9">
        <f>ROUNDUP(F7/900,0)</f>
        <v>0</v>
      </c>
    </row>
    <row r="12" spans="1:12" ht="16.8" thickTop="1" thickBot="1" x14ac:dyDescent="0.35">
      <c r="A12" s="3">
        <v>11</v>
      </c>
      <c r="B12" s="3">
        <v>316</v>
      </c>
      <c r="C12" s="3">
        <f t="shared" si="0"/>
        <v>46</v>
      </c>
      <c r="E12" t="s">
        <v>14</v>
      </c>
    </row>
    <row r="13" spans="1:12" ht="16.8" thickTop="1" thickBot="1" x14ac:dyDescent="0.35">
      <c r="A13" s="3">
        <v>12</v>
      </c>
      <c r="B13" s="3">
        <v>364</v>
      </c>
      <c r="C13" s="3">
        <f t="shared" si="0"/>
        <v>48</v>
      </c>
    </row>
    <row r="14" spans="1:12" ht="16.8" thickTop="1" thickBot="1" x14ac:dyDescent="0.35">
      <c r="A14" s="3">
        <v>13</v>
      </c>
      <c r="B14" s="3">
        <v>415</v>
      </c>
      <c r="C14" s="3">
        <f t="shared" si="0"/>
        <v>51</v>
      </c>
      <c r="E14" s="4" t="s">
        <v>15</v>
      </c>
      <c r="F14" s="5"/>
      <c r="H14" s="2" t="s">
        <v>4</v>
      </c>
    </row>
    <row r="15" spans="1:12" ht="16.8" thickTop="1" thickBot="1" x14ac:dyDescent="0.35">
      <c r="A15" s="3">
        <v>14</v>
      </c>
      <c r="B15" s="3">
        <v>468</v>
      </c>
      <c r="C15" s="3">
        <f t="shared" si="0"/>
        <v>53</v>
      </c>
      <c r="E15" s="4" t="s">
        <v>16</v>
      </c>
      <c r="F15" s="5"/>
      <c r="H15" s="21" t="s">
        <v>36</v>
      </c>
      <c r="I15" s="21"/>
      <c r="J15" s="21"/>
      <c r="K15" s="21"/>
    </row>
    <row r="16" spans="1:12" ht="16.8" thickTop="1" thickBot="1" x14ac:dyDescent="0.35">
      <c r="A16" s="3">
        <v>15</v>
      </c>
      <c r="B16" s="3">
        <v>523</v>
      </c>
      <c r="C16" s="3">
        <f t="shared" si="0"/>
        <v>55</v>
      </c>
      <c r="E16" s="4" t="s">
        <v>17</v>
      </c>
      <c r="F16" s="5"/>
      <c r="H16" s="16"/>
      <c r="I16" s="1" t="s">
        <v>38</v>
      </c>
      <c r="J16" s="22" t="s">
        <v>37</v>
      </c>
      <c r="K16" s="22"/>
    </row>
    <row r="17" spans="1:11" ht="16.8" thickTop="1" thickBot="1" x14ac:dyDescent="0.35">
      <c r="A17" s="3">
        <v>16</v>
      </c>
      <c r="B17" s="3">
        <v>580</v>
      </c>
      <c r="C17" s="3">
        <f t="shared" si="0"/>
        <v>57</v>
      </c>
      <c r="E17" s="4" t="s">
        <v>18</v>
      </c>
      <c r="F17" s="5"/>
      <c r="H17" s="1" t="s">
        <v>1</v>
      </c>
      <c r="I17" s="5">
        <v>10000</v>
      </c>
      <c r="J17" s="19">
        <f>F7</f>
        <v>0</v>
      </c>
      <c r="K17" s="20"/>
    </row>
    <row r="18" spans="1:11" ht="16.8" thickTop="1" thickBot="1" x14ac:dyDescent="0.35">
      <c r="A18" s="3">
        <v>17</v>
      </c>
      <c r="B18" s="3">
        <v>640</v>
      </c>
      <c r="C18" s="3">
        <f t="shared" si="0"/>
        <v>60</v>
      </c>
      <c r="E18" s="4" t="s">
        <v>19</v>
      </c>
      <c r="F18" s="5"/>
      <c r="H18" s="1" t="s">
        <v>35</v>
      </c>
      <c r="I18" s="5">
        <v>5000</v>
      </c>
      <c r="J18" s="19">
        <f>IF(I18="","",ROUNDUP(J17*I18/I17,0))</f>
        <v>0</v>
      </c>
      <c r="K18" s="20"/>
    </row>
    <row r="19" spans="1:11" ht="16.8" thickTop="1" thickBot="1" x14ac:dyDescent="0.35">
      <c r="A19" s="3">
        <v>18</v>
      </c>
      <c r="B19" s="3">
        <v>700</v>
      </c>
      <c r="C19" s="3">
        <f t="shared" si="0"/>
        <v>60</v>
      </c>
      <c r="E19" s="4" t="s">
        <v>20</v>
      </c>
      <c r="F19" s="5"/>
      <c r="H19" t="s">
        <v>39</v>
      </c>
    </row>
    <row r="20" spans="1:11" ht="16.8" thickTop="1" thickBot="1" x14ac:dyDescent="0.35">
      <c r="A20" s="3">
        <v>19</v>
      </c>
      <c r="B20" s="3">
        <v>763</v>
      </c>
      <c r="C20" s="3">
        <f t="shared" si="0"/>
        <v>63</v>
      </c>
      <c r="E20" s="6" t="s">
        <v>21</v>
      </c>
      <c r="F20" s="7">
        <f>ROUNDUP((F7-((F17*300)+(F18*600)+(F19*900)+(F14*100)+(F15*200)+(F16*300)))/100,0)</f>
        <v>0</v>
      </c>
    </row>
    <row r="21" spans="1:11" ht="16.8" thickTop="1" thickBot="1" x14ac:dyDescent="0.35">
      <c r="A21" s="3">
        <v>20</v>
      </c>
      <c r="B21" s="3">
        <v>828</v>
      </c>
      <c r="C21" s="3">
        <f t="shared" si="0"/>
        <v>65</v>
      </c>
      <c r="E21" s="6" t="s">
        <v>22</v>
      </c>
      <c r="F21" s="7">
        <f>ROUNDUP((F7-((F17*300)+(F18*600)+(F19*900)+(F14*100)+(F15*200)+(F16*300)))/200,0)</f>
        <v>0</v>
      </c>
      <c r="H21" t="s">
        <v>41</v>
      </c>
    </row>
    <row r="22" spans="1:11" ht="16.8" thickTop="1" thickBot="1" x14ac:dyDescent="0.35">
      <c r="A22" s="3">
        <v>21</v>
      </c>
      <c r="B22" s="3">
        <v>894</v>
      </c>
      <c r="C22" s="3">
        <f t="shared" si="0"/>
        <v>66</v>
      </c>
      <c r="E22" s="6" t="s">
        <v>23</v>
      </c>
      <c r="F22" s="7">
        <f>ROUNDUP((F7-((F17*300)+(F18*600)+(F19*900)+(F14*100)+(F15*200)+(F16*300)))/300,0)</f>
        <v>0</v>
      </c>
      <c r="H22" s="16"/>
      <c r="I22" s="1" t="s">
        <v>38</v>
      </c>
      <c r="J22" s="22" t="s">
        <v>37</v>
      </c>
      <c r="K22" s="22"/>
    </row>
    <row r="23" spans="1:11" ht="16.8" thickTop="1" thickBot="1" x14ac:dyDescent="0.35">
      <c r="A23" s="3">
        <v>22</v>
      </c>
      <c r="B23" s="3">
        <v>962</v>
      </c>
      <c r="C23" s="3">
        <f t="shared" si="0"/>
        <v>68</v>
      </c>
      <c r="E23" s="6" t="s">
        <v>24</v>
      </c>
      <c r="F23" s="7">
        <f>ROUNDUP((F7-((F17*300)+(F18*600)+(F19*900)+(F14*100)+(F15*200)+(F16*300)))/300,0)</f>
        <v>0</v>
      </c>
      <c r="H23" s="1" t="s">
        <v>1</v>
      </c>
      <c r="I23" s="5">
        <v>10000</v>
      </c>
      <c r="J23" s="17"/>
      <c r="K23" s="18"/>
    </row>
    <row r="24" spans="1:11" ht="16.8" thickTop="1" thickBot="1" x14ac:dyDescent="0.35">
      <c r="A24" s="3">
        <v>23</v>
      </c>
      <c r="B24" s="3">
        <v>1031</v>
      </c>
      <c r="C24" s="3">
        <f t="shared" si="0"/>
        <v>69</v>
      </c>
      <c r="E24" s="6" t="s">
        <v>25</v>
      </c>
      <c r="F24" s="7">
        <f>ROUNDUP((F7-((F17*300)+(F18*600)+(F19*900)+(F14*100)+(F15*200)+(F16*300)))/600,0)</f>
        <v>0</v>
      </c>
      <c r="H24" s="1" t="s">
        <v>35</v>
      </c>
      <c r="I24" s="5">
        <v>5000</v>
      </c>
      <c r="J24" s="19">
        <f>I24*J23/I23</f>
        <v>0</v>
      </c>
      <c r="K24" s="20"/>
    </row>
    <row r="25" spans="1:11" ht="16.8" thickTop="1" thickBot="1" x14ac:dyDescent="0.35">
      <c r="A25" s="3">
        <v>24</v>
      </c>
      <c r="B25" s="3">
        <v>1103</v>
      </c>
      <c r="C25" s="3">
        <f t="shared" si="0"/>
        <v>72</v>
      </c>
      <c r="E25" s="6" t="s">
        <v>26</v>
      </c>
      <c r="F25" s="7">
        <f>ROUNDUP((F7-((F17*300)+(F18*600)+(F19*900)+(F14*100)+(F15*200)+(F16*300)))/900,0)</f>
        <v>0</v>
      </c>
    </row>
    <row r="26" spans="1:11" ht="16.8" thickTop="1" thickBot="1" x14ac:dyDescent="0.35">
      <c r="A26" s="3">
        <v>25</v>
      </c>
      <c r="B26" s="3">
        <v>1175</v>
      </c>
      <c r="C26" s="3">
        <f t="shared" si="0"/>
        <v>72</v>
      </c>
      <c r="E26" t="s">
        <v>14</v>
      </c>
    </row>
    <row r="27" spans="1:11" ht="16.8" thickTop="1" thickBot="1" x14ac:dyDescent="0.35">
      <c r="A27" s="3">
        <v>26</v>
      </c>
      <c r="B27" s="3">
        <v>1250</v>
      </c>
      <c r="C27" s="3">
        <f t="shared" si="0"/>
        <v>75</v>
      </c>
    </row>
    <row r="28" spans="1:11" ht="16.8" thickTop="1" thickBot="1" x14ac:dyDescent="0.35">
      <c r="A28" s="3">
        <v>27</v>
      </c>
      <c r="B28" s="3">
        <v>1325</v>
      </c>
      <c r="C28" s="3">
        <f t="shared" si="0"/>
        <v>75</v>
      </c>
    </row>
    <row r="29" spans="1:11" ht="16.8" thickTop="1" thickBot="1" x14ac:dyDescent="0.35">
      <c r="A29" s="3">
        <v>28</v>
      </c>
      <c r="B29" s="3">
        <v>1402</v>
      </c>
      <c r="C29" s="3">
        <f t="shared" si="0"/>
        <v>77</v>
      </c>
    </row>
    <row r="30" spans="1:11" ht="16.8" thickTop="1" thickBot="1" x14ac:dyDescent="0.35">
      <c r="A30" s="3">
        <v>29</v>
      </c>
      <c r="B30" s="3">
        <v>1481</v>
      </c>
      <c r="C30" s="3">
        <f t="shared" si="0"/>
        <v>79</v>
      </c>
    </row>
    <row r="31" spans="1:11" ht="16.8" thickTop="1" thickBot="1" x14ac:dyDescent="0.35">
      <c r="A31" s="3">
        <v>30</v>
      </c>
      <c r="B31" s="3">
        <v>1561</v>
      </c>
      <c r="C31" s="3">
        <f t="shared" si="0"/>
        <v>80</v>
      </c>
    </row>
    <row r="32" spans="1:11" ht="16.8" thickTop="1" thickBot="1" x14ac:dyDescent="0.35">
      <c r="A32" s="3">
        <v>31</v>
      </c>
      <c r="B32" s="3">
        <v>1643</v>
      </c>
      <c r="C32" s="3">
        <f t="shared" si="0"/>
        <v>82</v>
      </c>
    </row>
    <row r="33" spans="1:3" ht="16.8" thickTop="1" thickBot="1" x14ac:dyDescent="0.35">
      <c r="A33" s="3">
        <v>32</v>
      </c>
      <c r="B33" s="3">
        <v>1726</v>
      </c>
      <c r="C33" s="3">
        <f t="shared" si="0"/>
        <v>83</v>
      </c>
    </row>
    <row r="34" spans="1:3" ht="16.8" thickTop="1" thickBot="1" x14ac:dyDescent="0.35">
      <c r="A34" s="3">
        <v>33</v>
      </c>
      <c r="B34" s="3">
        <v>1810</v>
      </c>
      <c r="C34" s="3">
        <f t="shared" si="0"/>
        <v>84</v>
      </c>
    </row>
    <row r="35" spans="1:3" ht="16.8" thickTop="1" thickBot="1" x14ac:dyDescent="0.35">
      <c r="A35" s="3">
        <v>34</v>
      </c>
      <c r="B35" s="3">
        <v>1895</v>
      </c>
      <c r="C35" s="3">
        <f t="shared" si="0"/>
        <v>85</v>
      </c>
    </row>
    <row r="36" spans="1:3" ht="16.8" thickTop="1" thickBot="1" x14ac:dyDescent="0.35">
      <c r="A36" s="3">
        <v>35</v>
      </c>
      <c r="B36" s="3">
        <v>1982</v>
      </c>
      <c r="C36" s="3">
        <f t="shared" si="0"/>
        <v>87</v>
      </c>
    </row>
    <row r="37" spans="1:3" ht="16.8" thickTop="1" thickBot="1" x14ac:dyDescent="0.35">
      <c r="A37" s="3">
        <v>36</v>
      </c>
      <c r="B37" s="3">
        <v>2070</v>
      </c>
      <c r="C37" s="3">
        <f t="shared" si="0"/>
        <v>88</v>
      </c>
    </row>
    <row r="38" spans="1:3" ht="16.8" thickTop="1" thickBot="1" x14ac:dyDescent="0.35">
      <c r="A38" s="3">
        <v>37</v>
      </c>
      <c r="B38" s="3">
        <v>2160</v>
      </c>
      <c r="C38" s="3">
        <f t="shared" si="0"/>
        <v>90</v>
      </c>
    </row>
    <row r="39" spans="1:3" ht="16.8" thickTop="1" thickBot="1" x14ac:dyDescent="0.35">
      <c r="A39" s="3">
        <v>38</v>
      </c>
      <c r="B39" s="3">
        <v>2250</v>
      </c>
      <c r="C39" s="3">
        <f t="shared" si="0"/>
        <v>90</v>
      </c>
    </row>
    <row r="40" spans="1:3" ht="16.8" thickTop="1" thickBot="1" x14ac:dyDescent="0.35">
      <c r="A40" s="3">
        <v>39</v>
      </c>
      <c r="B40" s="3">
        <v>2342</v>
      </c>
      <c r="C40" s="3">
        <f t="shared" si="0"/>
        <v>92</v>
      </c>
    </row>
    <row r="41" spans="1:3" ht="16.8" thickTop="1" thickBot="1" x14ac:dyDescent="0.35">
      <c r="A41" s="3">
        <v>40</v>
      </c>
      <c r="B41" s="3">
        <v>2435</v>
      </c>
      <c r="C41" s="3">
        <f t="shared" si="0"/>
        <v>93</v>
      </c>
    </row>
    <row r="42" spans="1:3" ht="16.8" thickTop="1" thickBot="1" x14ac:dyDescent="0.35">
      <c r="A42" s="3">
        <v>41</v>
      </c>
      <c r="B42" s="3">
        <v>2529</v>
      </c>
      <c r="C42" s="3">
        <f t="shared" si="0"/>
        <v>94</v>
      </c>
    </row>
    <row r="43" spans="1:3" ht="16.8" thickTop="1" thickBot="1" x14ac:dyDescent="0.35">
      <c r="A43" s="3">
        <v>42</v>
      </c>
      <c r="B43" s="3">
        <v>2625</v>
      </c>
      <c r="C43" s="3">
        <f t="shared" si="0"/>
        <v>96</v>
      </c>
    </row>
    <row r="44" spans="1:3" ht="16.8" thickTop="1" thickBot="1" x14ac:dyDescent="0.35">
      <c r="A44" s="3">
        <v>43</v>
      </c>
      <c r="B44" s="3">
        <v>2721</v>
      </c>
      <c r="C44" s="3">
        <f t="shared" si="0"/>
        <v>96</v>
      </c>
    </row>
    <row r="45" spans="1:3" ht="16.8" thickTop="1" thickBot="1" x14ac:dyDescent="0.35">
      <c r="A45" s="3">
        <v>44</v>
      </c>
      <c r="B45" s="3">
        <v>2819</v>
      </c>
      <c r="C45" s="3">
        <f t="shared" si="0"/>
        <v>98</v>
      </c>
    </row>
    <row r="46" spans="1:3" ht="16.8" thickTop="1" thickBot="1" x14ac:dyDescent="0.35">
      <c r="A46" s="3">
        <v>45</v>
      </c>
      <c r="B46" s="3">
        <v>2918</v>
      </c>
      <c r="C46" s="3">
        <f t="shared" si="0"/>
        <v>99</v>
      </c>
    </row>
    <row r="47" spans="1:3" ht="16.8" thickTop="1" thickBot="1" x14ac:dyDescent="0.35">
      <c r="A47" s="3">
        <v>46</v>
      </c>
      <c r="B47" s="3">
        <v>3018</v>
      </c>
      <c r="C47" s="3">
        <f t="shared" si="0"/>
        <v>100</v>
      </c>
    </row>
    <row r="48" spans="1:3" ht="16.8" thickTop="1" thickBot="1" x14ac:dyDescent="0.35">
      <c r="A48" s="3">
        <v>47</v>
      </c>
      <c r="B48" s="3">
        <v>3119</v>
      </c>
      <c r="C48" s="3">
        <f t="shared" si="0"/>
        <v>101</v>
      </c>
    </row>
    <row r="49" spans="1:3" ht="16.8" thickTop="1" thickBot="1" x14ac:dyDescent="0.35">
      <c r="A49" s="3">
        <v>48</v>
      </c>
      <c r="B49" s="3">
        <v>3222</v>
      </c>
      <c r="C49" s="3">
        <f t="shared" si="0"/>
        <v>103</v>
      </c>
    </row>
    <row r="50" spans="1:3" ht="16.8" thickTop="1" thickBot="1" x14ac:dyDescent="0.35">
      <c r="A50" s="3">
        <v>49</v>
      </c>
      <c r="B50" s="3">
        <v>3325</v>
      </c>
      <c r="C50" s="3">
        <f t="shared" si="0"/>
        <v>103</v>
      </c>
    </row>
    <row r="51" spans="1:3" ht="16.8" thickTop="1" thickBot="1" x14ac:dyDescent="0.35">
      <c r="A51" s="3">
        <v>50</v>
      </c>
      <c r="B51" s="3">
        <v>3430</v>
      </c>
      <c r="C51" s="3">
        <f t="shared" si="0"/>
        <v>105</v>
      </c>
    </row>
    <row r="52" spans="1:3" ht="16.8" thickTop="1" thickBot="1" x14ac:dyDescent="0.35">
      <c r="A52" s="3">
        <v>51</v>
      </c>
      <c r="B52" s="3">
        <v>3535</v>
      </c>
      <c r="C52" s="3">
        <f t="shared" si="0"/>
        <v>105</v>
      </c>
    </row>
    <row r="53" spans="1:3" ht="16.8" thickTop="1" thickBot="1" x14ac:dyDescent="0.35">
      <c r="A53" s="3">
        <v>52</v>
      </c>
      <c r="B53" s="3">
        <v>3642</v>
      </c>
      <c r="C53" s="3">
        <f t="shared" si="0"/>
        <v>107</v>
      </c>
    </row>
    <row r="54" spans="1:3" ht="16.8" thickTop="1" thickBot="1" x14ac:dyDescent="0.35">
      <c r="A54" s="3">
        <v>53</v>
      </c>
      <c r="B54" s="3">
        <v>3749</v>
      </c>
      <c r="C54" s="3">
        <f t="shared" si="0"/>
        <v>107</v>
      </c>
    </row>
    <row r="55" spans="1:3" ht="16.8" thickTop="1" thickBot="1" x14ac:dyDescent="0.35">
      <c r="A55" s="3">
        <v>54</v>
      </c>
      <c r="B55" s="3">
        <v>3858</v>
      </c>
      <c r="C55" s="3">
        <f t="shared" si="0"/>
        <v>109</v>
      </c>
    </row>
    <row r="56" spans="1:3" ht="16.8" thickTop="1" thickBot="1" x14ac:dyDescent="0.35">
      <c r="A56" s="3">
        <v>55</v>
      </c>
      <c r="B56" s="3">
        <v>3968</v>
      </c>
      <c r="C56" s="3">
        <f t="shared" si="0"/>
        <v>110</v>
      </c>
    </row>
    <row r="57" spans="1:3" ht="16.8" thickTop="1" thickBot="1" x14ac:dyDescent="0.35">
      <c r="A57" s="3">
        <v>56</v>
      </c>
      <c r="B57" s="3">
        <v>4078</v>
      </c>
      <c r="C57" s="3">
        <f t="shared" si="0"/>
        <v>110</v>
      </c>
    </row>
    <row r="58" spans="1:3" ht="16.8" thickTop="1" thickBot="1" x14ac:dyDescent="0.35">
      <c r="A58" s="3">
        <v>57</v>
      </c>
      <c r="B58" s="3">
        <v>4190</v>
      </c>
      <c r="C58" s="3">
        <f t="shared" si="0"/>
        <v>112</v>
      </c>
    </row>
    <row r="59" spans="1:3" ht="16.8" thickTop="1" thickBot="1" x14ac:dyDescent="0.35">
      <c r="A59" s="3">
        <v>58</v>
      </c>
      <c r="B59" s="3">
        <v>4303</v>
      </c>
      <c r="C59" s="3">
        <f t="shared" si="0"/>
        <v>113</v>
      </c>
    </row>
    <row r="60" spans="1:3" ht="16.8" thickTop="1" thickBot="1" x14ac:dyDescent="0.35">
      <c r="A60" s="3">
        <v>59</v>
      </c>
      <c r="B60" s="3">
        <v>4417</v>
      </c>
      <c r="C60" s="3">
        <f t="shared" si="0"/>
        <v>114</v>
      </c>
    </row>
    <row r="61" spans="1:3" ht="16.8" thickTop="1" thickBot="1" x14ac:dyDescent="0.35">
      <c r="A61" s="3">
        <v>60</v>
      </c>
      <c r="B61" s="3">
        <v>4513</v>
      </c>
      <c r="C61" s="3">
        <f t="shared" si="0"/>
        <v>96</v>
      </c>
    </row>
    <row r="62" spans="1:3" ht="16.8" thickTop="1" thickBot="1" x14ac:dyDescent="0.35">
      <c r="A62" s="3"/>
      <c r="B62" s="3">
        <v>4647</v>
      </c>
      <c r="C62" s="3">
        <f t="shared" si="0"/>
        <v>134</v>
      </c>
    </row>
    <row r="63" spans="1:3" ht="16.2" thickTop="1" x14ac:dyDescent="0.3"/>
  </sheetData>
  <mergeCells count="7">
    <mergeCell ref="H15:K15"/>
    <mergeCell ref="J22:K22"/>
    <mergeCell ref="J23:K23"/>
    <mergeCell ref="J24:K24"/>
    <mergeCell ref="J17:K17"/>
    <mergeCell ref="J18:K18"/>
    <mergeCell ref="J16:K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Single Card Xp Needed</vt:lpstr>
      <vt:lpstr>Exp Journey Evo 1 to Evo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Suigin</dc:creator>
  <cp:lastModifiedBy>utilisateur</cp:lastModifiedBy>
  <dcterms:created xsi:type="dcterms:W3CDTF">2015-06-05T18:19:34Z</dcterms:created>
  <dcterms:modified xsi:type="dcterms:W3CDTF">2020-06-29T12:26:09Z</dcterms:modified>
</cp:coreProperties>
</file>